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drawings/drawing2.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3.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D:\books-and-tutorials\Finance-Excel\"/>
    </mc:Choice>
  </mc:AlternateContent>
  <xr:revisionPtr revIDLastSave="0" documentId="13_ncr:1_{88F6522C-427F-48A1-9567-6B6BBB9E8212}" xr6:coauthVersionLast="47" xr6:coauthVersionMax="47" xr10:uidLastSave="{00000000-0000-0000-0000-000000000000}"/>
  <bookViews>
    <workbookView xWindow="-120" yWindow="-120" windowWidth="20730" windowHeight="11160" firstSheet="2" activeTab="10" xr2:uid="{00000000-000D-0000-FFFF-FFFF00000000}"/>
  </bookViews>
  <sheets>
    <sheet name="Sheet1" sheetId="1" r:id="rId1"/>
    <sheet name="Sheet2" sheetId="2" r:id="rId2"/>
    <sheet name="Sheet3" sheetId="3" r:id="rId3"/>
    <sheet name="Sheet4" sheetId="4" r:id="rId4"/>
    <sheet name="Sheet5" sheetId="5" r:id="rId5"/>
    <sheet name="Sheet6" sheetId="6" r:id="rId6"/>
    <sheet name="Sheet7" sheetId="7" r:id="rId7"/>
    <sheet name="Sheet8" sheetId="8" r:id="rId8"/>
    <sheet name="Sheet9" sheetId="9" r:id="rId9"/>
    <sheet name="Sheet10" sheetId="10" r:id="rId10"/>
    <sheet name="Sheet11" sheetId="11" r:id="rId11"/>
  </sheets>
  <definedNames>
    <definedName name="_xlnm._FilterDatabase" localSheetId="6" hidden="1">Sheet7!$B$1:$F$9</definedName>
    <definedName name="Slicer_COMPANY_NAME">#N/A</definedName>
    <definedName name="Slicer_INVESTMENT_AMOUNT__USD">#N/A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2"/>
        <x14:slicerCache r:id="rId13"/>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3" i="11" l="1"/>
  <c r="E4" i="11"/>
  <c r="E6" i="11"/>
  <c r="E7" i="11"/>
  <c r="E8" i="11"/>
  <c r="E9" i="11"/>
  <c r="E10" i="11"/>
  <c r="E11" i="11"/>
  <c r="E12" i="11"/>
  <c r="E5" i="11"/>
  <c r="D4" i="11"/>
  <c r="D5" i="11"/>
  <c r="D6" i="11"/>
  <c r="D7" i="11"/>
  <c r="D8" i="11"/>
  <c r="D9" i="11"/>
  <c r="D10" i="11"/>
  <c r="D11" i="11"/>
  <c r="D12" i="11"/>
  <c r="D3" i="11"/>
  <c r="G5" i="10"/>
  <c r="G6" i="10"/>
  <c r="G7" i="10"/>
  <c r="G8" i="10"/>
  <c r="G4" i="10"/>
  <c r="G3" i="10"/>
  <c r="F4" i="10"/>
  <c r="F5" i="10"/>
  <c r="F6" i="10"/>
  <c r="F7" i="10"/>
  <c r="F8" i="10"/>
  <c r="F3" i="10"/>
  <c r="D4" i="8"/>
  <c r="E4" i="8"/>
  <c r="D5" i="8"/>
  <c r="E5" i="8"/>
  <c r="D6" i="8"/>
  <c r="E6" i="8"/>
  <c r="D7" i="8"/>
  <c r="E7" i="8"/>
  <c r="D8" i="8"/>
  <c r="E8" i="8"/>
  <c r="D9" i="8"/>
  <c r="E9" i="8"/>
  <c r="D10" i="8"/>
  <c r="E10" i="8"/>
  <c r="D11" i="8"/>
  <c r="E11" i="8"/>
  <c r="D12" i="8"/>
  <c r="E12" i="8"/>
  <c r="D13" i="8"/>
  <c r="E13" i="8"/>
  <c r="D14" i="8"/>
  <c r="E14" i="8"/>
  <c r="C5" i="8"/>
  <c r="C6" i="8"/>
  <c r="C7" i="8"/>
  <c r="C8" i="8"/>
  <c r="C9" i="8"/>
  <c r="C10" i="8"/>
  <c r="C11" i="8"/>
  <c r="C12" i="8"/>
  <c r="C13" i="8"/>
  <c r="C14" i="8"/>
  <c r="C4" i="8"/>
  <c r="E12" i="7"/>
  <c r="F3" i="7"/>
  <c r="F5" i="7"/>
  <c r="F7" i="7"/>
  <c r="F2" i="7"/>
  <c r="F9" i="7"/>
  <c r="F6" i="7"/>
  <c r="F4" i="7"/>
  <c r="F8" i="7"/>
  <c r="C3" i="6"/>
  <c r="G7" i="6" s="1"/>
  <c r="C4" i="6"/>
  <c r="G9" i="6" s="1"/>
  <c r="C5" i="6"/>
  <c r="G10" i="6" s="1"/>
  <c r="C6" i="6"/>
  <c r="G3" i="6" s="1"/>
  <c r="C7" i="6"/>
  <c r="G4" i="6" s="1"/>
  <c r="C8" i="6"/>
  <c r="G12" i="6" s="1"/>
  <c r="C9" i="6"/>
  <c r="G13" i="6" s="1"/>
  <c r="C2" i="6"/>
  <c r="G6" i="6" s="1"/>
  <c r="C4" i="5"/>
  <c r="D4" i="5"/>
  <c r="C5" i="5"/>
  <c r="D5" i="5"/>
  <c r="C6" i="5"/>
  <c r="D6" i="5"/>
  <c r="C7" i="5"/>
  <c r="D7" i="5"/>
  <c r="D3" i="5"/>
  <c r="C3" i="5"/>
  <c r="B4" i="5"/>
  <c r="B5" i="5"/>
  <c r="B6" i="5"/>
  <c r="B7" i="5"/>
  <c r="B3" i="5"/>
  <c r="I3" i="4"/>
  <c r="H3" i="4"/>
  <c r="G3" i="4"/>
  <c r="F3" i="4"/>
  <c r="E3" i="4"/>
  <c r="N4" i="3"/>
  <c r="N7" i="3" s="1"/>
  <c r="I11" i="3"/>
  <c r="I6" i="3"/>
  <c r="I5" i="3"/>
  <c r="I7" i="3"/>
  <c r="I8" i="3"/>
  <c r="I9" i="3"/>
  <c r="I10" i="3"/>
  <c r="I4" i="3"/>
  <c r="E6" i="5" l="1"/>
  <c r="G5" i="6"/>
  <c r="G11" i="6"/>
  <c r="G2" i="6"/>
  <c r="G8" i="6"/>
  <c r="E4" i="5"/>
  <c r="F7" i="5"/>
  <c r="F6" i="5"/>
  <c r="E5" i="5"/>
  <c r="F5" i="5"/>
  <c r="E7" i="5"/>
  <c r="F4" i="5"/>
  <c r="E3" i="5"/>
  <c r="F3" i="5"/>
  <c r="G14" i="6" l="1"/>
  <c r="F8" i="5"/>
  <c r="E8" i="5"/>
  <c r="G5" i="5" l="1"/>
  <c r="G7" i="5"/>
  <c r="G6" i="5"/>
  <c r="G3" i="5"/>
  <c r="G4" i="5"/>
</calcChain>
</file>

<file path=xl/sharedStrings.xml><?xml version="1.0" encoding="utf-8"?>
<sst xmlns="http://schemas.openxmlformats.org/spreadsheetml/2006/main" count="163" uniqueCount="122">
  <si>
    <t>Sunday</t>
  </si>
  <si>
    <t>Monday</t>
  </si>
  <si>
    <t>Tuesday</t>
  </si>
  <si>
    <t>Wednesday</t>
  </si>
  <si>
    <t>Thursday</t>
  </si>
  <si>
    <t>Friday</t>
  </si>
  <si>
    <t>Saturday</t>
  </si>
  <si>
    <t>ticker</t>
  </si>
  <si>
    <t>company name</t>
  </si>
  <si>
    <t>price</t>
  </si>
  <si>
    <t>annual return</t>
  </si>
  <si>
    <t>Jafar-Loka-01</t>
  </si>
  <si>
    <t>JLoka-01</t>
  </si>
  <si>
    <t>JLoka-02</t>
  </si>
  <si>
    <t>JLoka-03</t>
  </si>
  <si>
    <t>JLoka-04</t>
  </si>
  <si>
    <t>Jafar-Loka-02</t>
  </si>
  <si>
    <t>Jafar-Loka-03</t>
  </si>
  <si>
    <t>Jafar-Loka-04</t>
  </si>
  <si>
    <t>Jafar Loka's Stock Price History</t>
  </si>
  <si>
    <t>Date</t>
  </si>
  <si>
    <t>Adj Close</t>
  </si>
  <si>
    <t>Average Return</t>
  </si>
  <si>
    <t>Positive or Negative</t>
  </si>
  <si>
    <t>Volume Of Jafar Loka Shares Sold</t>
  </si>
  <si>
    <t>Sum</t>
  </si>
  <si>
    <t>Max</t>
  </si>
  <si>
    <t>Min</t>
  </si>
  <si>
    <t>Count</t>
  </si>
  <si>
    <t>CountIf</t>
  </si>
  <si>
    <t>ITEM</t>
  </si>
  <si>
    <t>PRICE</t>
  </si>
  <si>
    <t>Quantity</t>
  </si>
  <si>
    <t>Week 1</t>
  </si>
  <si>
    <t>Week 2</t>
  </si>
  <si>
    <t>REVENUE</t>
  </si>
  <si>
    <t>% of Revenue</t>
  </si>
  <si>
    <t>A</t>
  </si>
  <si>
    <t>B</t>
  </si>
  <si>
    <t>C</t>
  </si>
  <si>
    <t>D</t>
  </si>
  <si>
    <t>E</t>
  </si>
  <si>
    <t>TOTAL</t>
  </si>
  <si>
    <t>REGION</t>
  </si>
  <si>
    <t>PRODUCT</t>
  </si>
  <si>
    <t>SALES</t>
  </si>
  <si>
    <t>NORTH</t>
  </si>
  <si>
    <t>SOUTH</t>
  </si>
  <si>
    <t>EAST</t>
  </si>
  <si>
    <t>WEST</t>
  </si>
  <si>
    <t>PRODUCT A</t>
  </si>
  <si>
    <t>PRODUCT B</t>
  </si>
  <si>
    <t>Grand Total</t>
  </si>
  <si>
    <t>INVESTOR_ID</t>
  </si>
  <si>
    <t>INVESTOR_NAME</t>
  </si>
  <si>
    <t>COMPANY_NAME</t>
  </si>
  <si>
    <t>INVESTMENT AMOUNT (USD)</t>
  </si>
  <si>
    <t>INVESTMENT_DATE</t>
  </si>
  <si>
    <t>INV-001</t>
  </si>
  <si>
    <t>INV-002</t>
  </si>
  <si>
    <t>INV-003</t>
  </si>
  <si>
    <t>INV-004</t>
  </si>
  <si>
    <t>INV-005</t>
  </si>
  <si>
    <t>INV-006</t>
  </si>
  <si>
    <t>INV-007</t>
  </si>
  <si>
    <t>INV-008</t>
  </si>
  <si>
    <t>Jafar Loka-01</t>
  </si>
  <si>
    <t>Jafar Loka-02</t>
  </si>
  <si>
    <t>Jafar Loka-03</t>
  </si>
  <si>
    <t>Jafar Loka-04</t>
  </si>
  <si>
    <t>Jafar Loka-05</t>
  </si>
  <si>
    <t>Jafar Loka-06</t>
  </si>
  <si>
    <t>Jafar Loka-07</t>
  </si>
  <si>
    <t>Jafar Loka-08</t>
  </si>
  <si>
    <t>SUM Of Investment Amount</t>
  </si>
  <si>
    <t>JLoka Stock Returns</t>
  </si>
  <si>
    <t>Year</t>
  </si>
  <si>
    <t>Jloka-01</t>
  </si>
  <si>
    <t>Jloka-02</t>
  </si>
  <si>
    <t>Jloka-03</t>
  </si>
  <si>
    <t>Investment Type</t>
  </si>
  <si>
    <t>Portfolio Allocation</t>
  </si>
  <si>
    <t>Stocks</t>
  </si>
  <si>
    <t>Bonds</t>
  </si>
  <si>
    <t>Real Estate</t>
  </si>
  <si>
    <t>Cash</t>
  </si>
  <si>
    <t>Applicant</t>
  </si>
  <si>
    <t>Credit Score</t>
  </si>
  <si>
    <t>Loan Amount</t>
  </si>
  <si>
    <t>Employement Status</t>
  </si>
  <si>
    <t>Good Credit?</t>
  </si>
  <si>
    <t>Approved or Denied?</t>
  </si>
  <si>
    <t>A1</t>
  </si>
  <si>
    <t>A2</t>
  </si>
  <si>
    <t>A3</t>
  </si>
  <si>
    <t>A4</t>
  </si>
  <si>
    <t>A5</t>
  </si>
  <si>
    <t>A6</t>
  </si>
  <si>
    <t>Full-Time</t>
  </si>
  <si>
    <t>Part-Time</t>
  </si>
  <si>
    <t>UnEmployment</t>
  </si>
  <si>
    <t>Ticker</t>
  </si>
  <si>
    <t>Company</t>
  </si>
  <si>
    <t>Price</t>
  </si>
  <si>
    <t>Dividend</t>
  </si>
  <si>
    <t>Jloka-04</t>
  </si>
  <si>
    <t>Jloka-05</t>
  </si>
  <si>
    <t>Jloka-06</t>
  </si>
  <si>
    <t>Jloka-07</t>
  </si>
  <si>
    <t>Jloka-08</t>
  </si>
  <si>
    <t>Jloka-09</t>
  </si>
  <si>
    <t>Jloka-10</t>
  </si>
  <si>
    <t>Jloka-100</t>
  </si>
  <si>
    <t>Jloka-101</t>
  </si>
  <si>
    <t>Jloka-102</t>
  </si>
  <si>
    <t>Jloka-103</t>
  </si>
  <si>
    <t>Jloka-104</t>
  </si>
  <si>
    <t>Jloka-105</t>
  </si>
  <si>
    <t>Jloka-106</t>
  </si>
  <si>
    <t>Jloka-107</t>
  </si>
  <si>
    <t>Jloka-108</t>
  </si>
  <si>
    <t>Jloka-109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</si>
</sst>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_(&quot;$&quot;* #,##0_);_(&quot;$&quot;* \(#,##0\);_(&quot;$&quot;* &quot;-&quot;??_);_(@_)"/>
    <numFmt numFmtId="165" formatCode="[$-409]mmmm\ d\,\ yyyy;@"/>
    <numFmt numFmtId="166" formatCode="0.0%"/>
  </numFmts>
  <fonts count="6" x14ac:knownFonts="1">
    <font>
      <sz val="11"/>
      <color theme="1"/>
      <name val="Calibri"/>
      <family val="2"/>
      <scheme val="minor"/>
    </font>
    <font>
      <sz val="11"/>
      <color theme="1"/>
      <name val="Calibri"/>
      <family val="2"/>
      <scheme val="minor"/>
    </font>
    <font>
      <b/>
      <sz val="11"/>
      <color theme="1"/>
      <name val="Calibri"/>
      <family val="2"/>
      <scheme val="minor"/>
    </font>
    <font>
      <sz val="8"/>
      <name val="Calibri"/>
      <family val="2"/>
      <scheme val="minor"/>
    </font>
    <font>
      <b/>
      <sz val="11"/>
      <color theme="5"/>
      <name val="Calibri"/>
      <family val="2"/>
      <scheme val="minor"/>
    </font>
    <font>
      <b/>
      <sz val="14"/>
      <color theme="1"/>
      <name val="Calibri"/>
      <family val="2"/>
      <scheme val="minor"/>
    </font>
  </fonts>
  <fills count="13">
    <fill>
      <patternFill patternType="none"/>
    </fill>
    <fill>
      <patternFill patternType="gray125"/>
    </fill>
    <fill>
      <patternFill patternType="solid">
        <fgColor theme="9" tint="0.39997558519241921"/>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0"/>
        <bgColor indexed="64"/>
      </patternFill>
    </fill>
    <fill>
      <patternFill patternType="solid">
        <fgColor theme="2"/>
        <bgColor indexed="64"/>
      </patternFill>
    </fill>
    <fill>
      <patternFill patternType="solid">
        <fgColor theme="4" tint="0.59999389629810485"/>
        <bgColor indexed="64"/>
      </patternFill>
    </fill>
    <fill>
      <patternFill patternType="solid">
        <fgColor theme="3" tint="0.59999389629810485"/>
        <bgColor indexed="64"/>
      </patternFill>
    </fill>
    <fill>
      <patternFill patternType="solid">
        <fgColor theme="2" tint="-9.9978637043366805E-2"/>
        <bgColor indexed="64"/>
      </patternFill>
    </fill>
    <fill>
      <patternFill patternType="solid">
        <fgColor rgb="FFFF0000"/>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2"/>
      </left>
      <right style="thin">
        <color indexed="64"/>
      </right>
      <top style="thin">
        <color indexed="64"/>
      </top>
      <bottom style="thin">
        <color theme="2"/>
      </bottom>
      <diagonal/>
    </border>
    <border>
      <left style="thin">
        <color indexed="64"/>
      </left>
      <right/>
      <top style="thin">
        <color indexed="64"/>
      </top>
      <bottom style="thin">
        <color indexed="64"/>
      </bottom>
      <diagonal/>
    </border>
    <border>
      <left style="thin">
        <color theme="2"/>
      </left>
      <right style="thin">
        <color indexed="64"/>
      </right>
      <top style="thin">
        <color indexed="64"/>
      </top>
      <bottom style="thin">
        <color indexed="64"/>
      </bottom>
      <diagonal/>
    </border>
    <border>
      <left style="thin">
        <color indexed="64"/>
      </left>
      <right style="thin">
        <color theme="2"/>
      </right>
      <top style="thin">
        <color indexed="64"/>
      </top>
      <bottom style="thin">
        <color theme="2"/>
      </bottom>
      <diagonal/>
    </border>
    <border>
      <left style="thin">
        <color theme="2"/>
      </left>
      <right style="thin">
        <color indexed="64"/>
      </right>
      <top/>
      <bottom/>
      <diagonal/>
    </border>
    <border>
      <left style="thin">
        <color indexed="64"/>
      </left>
      <right style="thin">
        <color theme="2"/>
      </right>
      <top style="thin">
        <color theme="2"/>
      </top>
      <bottom style="thin">
        <color theme="2"/>
      </bottom>
      <diagonal/>
    </border>
    <border>
      <left style="thin">
        <color theme="2"/>
      </left>
      <right style="thin">
        <color indexed="64"/>
      </right>
      <top style="thin">
        <color theme="2"/>
      </top>
      <bottom/>
      <diagonal/>
    </border>
    <border>
      <left style="thin">
        <color theme="2"/>
      </left>
      <right style="thin">
        <color indexed="64"/>
      </right>
      <top style="thin">
        <color theme="2"/>
      </top>
      <bottom style="thin">
        <color theme="2"/>
      </bottom>
      <diagonal/>
    </border>
    <border>
      <left style="thin">
        <color theme="2"/>
      </left>
      <right style="thin">
        <color indexed="64"/>
      </right>
      <top style="thin">
        <color indexed="64"/>
      </top>
      <bottom/>
      <diagonal/>
    </border>
    <border>
      <left style="thin">
        <color indexed="64"/>
      </left>
      <right/>
      <top style="thin">
        <color indexed="64"/>
      </top>
      <bottom/>
      <diagonal/>
    </border>
    <border>
      <left style="thin">
        <color indexed="64"/>
      </left>
      <right style="thin">
        <color theme="2"/>
      </right>
      <top style="thin">
        <color theme="2"/>
      </top>
      <bottom/>
      <diagonal/>
    </border>
    <border>
      <left style="thin">
        <color indexed="64"/>
      </left>
      <right/>
      <top/>
      <bottom/>
      <diagonal/>
    </border>
    <border>
      <left style="thin">
        <color theme="1"/>
      </left>
      <right style="thin">
        <color theme="1"/>
      </right>
      <top style="thin">
        <color theme="1"/>
      </top>
      <bottom style="thin">
        <color theme="1"/>
      </bottom>
      <diagonal/>
    </border>
    <border>
      <left style="thin">
        <color theme="1"/>
      </left>
      <right style="thin">
        <color indexed="64"/>
      </right>
      <top style="thin">
        <color indexed="64"/>
      </top>
      <bottom style="thin">
        <color theme="2"/>
      </bottom>
      <diagonal/>
    </border>
    <border>
      <left style="thin">
        <color indexed="64"/>
      </left>
      <right/>
      <top style="thin">
        <color indexed="64"/>
      </top>
      <bottom style="thin">
        <color theme="2"/>
      </bottom>
      <diagonal/>
    </border>
    <border>
      <left style="thin">
        <color indexed="64"/>
      </left>
      <right style="thin">
        <color theme="1"/>
      </right>
      <top style="thin">
        <color indexed="64"/>
      </top>
      <bottom style="thin">
        <color indexed="64"/>
      </bottom>
      <diagonal/>
    </border>
    <border>
      <left/>
      <right style="thin">
        <color theme="1"/>
      </right>
      <top style="thin">
        <color theme="1"/>
      </top>
      <bottom/>
      <diagonal/>
    </border>
    <border>
      <left/>
      <right style="thin">
        <color theme="1"/>
      </right>
      <top/>
      <bottom/>
      <diagonal/>
    </border>
    <border>
      <left/>
      <right style="thin">
        <color theme="1"/>
      </right>
      <top/>
      <bottom style="thin">
        <color theme="1"/>
      </bottom>
      <diagonal/>
    </border>
    <border>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theme="1"/>
      </left>
      <right style="thin">
        <color theme="1"/>
      </right>
      <top/>
      <bottom style="thin">
        <color theme="1"/>
      </bottom>
      <diagonal/>
    </border>
    <border>
      <left style="thin">
        <color theme="1"/>
      </left>
      <right style="thin">
        <color theme="1"/>
      </right>
      <top/>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82">
    <xf numFmtId="0" fontId="0" fillId="0" borderId="0" xfId="0"/>
    <xf numFmtId="14" fontId="0" fillId="0" borderId="0" xfId="0" applyNumberFormat="1"/>
    <xf numFmtId="44" fontId="0" fillId="0" borderId="0" xfId="1" applyFont="1"/>
    <xf numFmtId="10" fontId="0" fillId="0" borderId="0" xfId="2" applyNumberFormat="1" applyFont="1"/>
    <xf numFmtId="0" fontId="0" fillId="3" borderId="1" xfId="0" applyFill="1" applyBorder="1"/>
    <xf numFmtId="44" fontId="0" fillId="3" borderId="1" xfId="1" applyFont="1" applyFill="1" applyBorder="1"/>
    <xf numFmtId="10" fontId="0" fillId="3" borderId="1" xfId="2" applyNumberFormat="1" applyFont="1" applyFill="1" applyBorder="1"/>
    <xf numFmtId="0" fontId="2" fillId="2" borderId="1" xfId="0" applyFont="1" applyFill="1" applyBorder="1"/>
    <xf numFmtId="44" fontId="2" fillId="2" borderId="1" xfId="1" applyFont="1" applyFill="1" applyBorder="1"/>
    <xf numFmtId="10" fontId="2" fillId="2" borderId="1" xfId="2" applyNumberFormat="1" applyFont="1" applyFill="1" applyBorder="1"/>
    <xf numFmtId="10" fontId="0" fillId="0" borderId="1" xfId="0" applyNumberFormat="1" applyBorder="1" applyAlignment="1">
      <alignment horizontal="center"/>
    </xf>
    <xf numFmtId="0" fontId="2" fillId="5" borderId="1" xfId="0" applyFont="1" applyFill="1" applyBorder="1" applyAlignment="1">
      <alignment horizontal="center"/>
    </xf>
    <xf numFmtId="0" fontId="0" fillId="0" borderId="1" xfId="0" applyBorder="1"/>
    <xf numFmtId="0" fontId="4" fillId="6" borderId="1" xfId="0" applyFont="1" applyFill="1" applyBorder="1"/>
    <xf numFmtId="14" fontId="0" fillId="5" borderId="1" xfId="0" applyNumberFormat="1" applyFill="1" applyBorder="1"/>
    <xf numFmtId="164" fontId="0" fillId="5" borderId="1" xfId="1" applyNumberFormat="1" applyFont="1" applyFill="1" applyBorder="1"/>
    <xf numFmtId="0" fontId="4" fillId="6" borderId="2" xfId="0" applyFont="1" applyFill="1" applyBorder="1"/>
    <xf numFmtId="0" fontId="0" fillId="7" borderId="0" xfId="0" applyFill="1"/>
    <xf numFmtId="0" fontId="4" fillId="7" borderId="0" xfId="0" applyFont="1" applyFill="1"/>
    <xf numFmtId="0" fontId="0" fillId="8" borderId="1" xfId="0" applyFill="1" applyBorder="1"/>
    <xf numFmtId="164" fontId="0" fillId="8" borderId="1" xfId="0" applyNumberFormat="1" applyFill="1" applyBorder="1"/>
    <xf numFmtId="0" fontId="0" fillId="9" borderId="1" xfId="0" applyFill="1" applyBorder="1"/>
    <xf numFmtId="0" fontId="0" fillId="0" borderId="3" xfId="0" applyBorder="1"/>
    <xf numFmtId="0" fontId="0" fillId="0" borderId="4" xfId="0" applyBorder="1" applyAlignment="1">
      <alignment horizontal="center" vertical="center"/>
    </xf>
    <xf numFmtId="44" fontId="0" fillId="0" borderId="5" xfId="1" applyFont="1" applyBorder="1"/>
    <xf numFmtId="0" fontId="0" fillId="0" borderId="7" xfId="0" applyBorder="1"/>
    <xf numFmtId="0" fontId="0" fillId="0" borderId="8" xfId="0" applyBorder="1"/>
    <xf numFmtId="0" fontId="0" fillId="0" borderId="9" xfId="0" applyBorder="1"/>
    <xf numFmtId="0" fontId="0" fillId="0" borderId="10" xfId="0" applyBorder="1"/>
    <xf numFmtId="44" fontId="0" fillId="0" borderId="6" xfId="0" applyNumberFormat="1" applyBorder="1"/>
    <xf numFmtId="0" fontId="0" fillId="0" borderId="12" xfId="0" applyBorder="1"/>
    <xf numFmtId="0" fontId="0" fillId="0" borderId="13" xfId="0" applyBorder="1"/>
    <xf numFmtId="0" fontId="0" fillId="0" borderId="14" xfId="0" applyBorder="1"/>
    <xf numFmtId="44" fontId="0" fillId="0" borderId="11" xfId="1" applyFont="1" applyBorder="1"/>
    <xf numFmtId="0" fontId="0" fillId="0" borderId="15" xfId="0" applyBorder="1"/>
    <xf numFmtId="44" fontId="0" fillId="0" borderId="17" xfId="0" applyNumberFormat="1" applyBorder="1"/>
    <xf numFmtId="44" fontId="0" fillId="0" borderId="18" xfId="0" applyNumberFormat="1" applyBorder="1"/>
    <xf numFmtId="44" fontId="0" fillId="0" borderId="15" xfId="0" applyNumberFormat="1" applyBorder="1"/>
    <xf numFmtId="10" fontId="0" fillId="0" borderId="16" xfId="2" applyNumberFormat="1" applyFont="1" applyBorder="1" applyAlignment="1">
      <alignment horizontal="left" indent="9"/>
    </xf>
    <xf numFmtId="0" fontId="2" fillId="9" borderId="15" xfId="0" applyFont="1" applyFill="1" applyBorder="1" applyAlignment="1">
      <alignment horizontal="center"/>
    </xf>
    <xf numFmtId="0" fontId="2" fillId="9" borderId="15" xfId="0" applyFont="1" applyFill="1" applyBorder="1"/>
    <xf numFmtId="44" fontId="0" fillId="0" borderId="19" xfId="1" applyFont="1" applyBorder="1"/>
    <xf numFmtId="44" fontId="0" fillId="0" borderId="21" xfId="1" applyFont="1" applyBorder="1"/>
    <xf numFmtId="44" fontId="0" fillId="9" borderId="15" xfId="0" applyNumberFormat="1" applyFill="1" applyBorder="1"/>
    <xf numFmtId="44" fontId="0" fillId="0" borderId="22" xfId="1" applyFont="1" applyBorder="1"/>
    <xf numFmtId="0" fontId="2" fillId="2" borderId="15" xfId="0" applyFont="1" applyFill="1" applyBorder="1"/>
    <xf numFmtId="44" fontId="2" fillId="2" borderId="15" xfId="1" applyFont="1" applyFill="1" applyBorder="1"/>
    <xf numFmtId="0" fontId="0" fillId="10" borderId="23" xfId="0" applyFill="1" applyBorder="1"/>
    <xf numFmtId="0" fontId="0" fillId="10" borderId="15" xfId="0" applyFill="1" applyBorder="1"/>
    <xf numFmtId="0" fontId="0" fillId="11" borderId="15" xfId="0" applyFill="1" applyBorder="1"/>
    <xf numFmtId="0" fontId="0" fillId="11" borderId="24" xfId="0" applyFill="1" applyBorder="1"/>
    <xf numFmtId="0" fontId="0" fillId="12" borderId="23" xfId="0" applyFill="1" applyBorder="1"/>
    <xf numFmtId="0" fontId="0" fillId="12" borderId="15" xfId="0" applyFill="1" applyBorder="1"/>
    <xf numFmtId="0" fontId="0" fillId="6" borderId="15" xfId="0" applyFill="1" applyBorder="1"/>
    <xf numFmtId="0" fontId="0" fillId="6" borderId="24" xfId="0" applyFill="1" applyBorder="1"/>
    <xf numFmtId="0" fontId="0" fillId="0" borderId="0" xfId="0" applyAlignment="1">
      <alignment vertical="top"/>
    </xf>
    <xf numFmtId="0" fontId="0" fillId="4" borderId="25" xfId="0" applyFill="1" applyBorder="1" applyAlignment="1">
      <alignment vertical="center" wrapText="1"/>
    </xf>
    <xf numFmtId="0" fontId="0" fillId="4" borderId="25" xfId="0" applyFill="1" applyBorder="1" applyAlignment="1">
      <alignment vertical="center"/>
    </xf>
    <xf numFmtId="0" fontId="0" fillId="4" borderId="25" xfId="0" applyFill="1" applyBorder="1" applyAlignment="1">
      <alignment horizontal="center" vertical="center" wrapText="1"/>
    </xf>
    <xf numFmtId="0" fontId="0" fillId="4" borderId="20" xfId="0" applyFill="1" applyBorder="1" applyAlignment="1">
      <alignment vertical="center"/>
    </xf>
    <xf numFmtId="0" fontId="0" fillId="0" borderId="1" xfId="0" applyBorder="1" applyAlignment="1">
      <alignment vertical="top"/>
    </xf>
    <xf numFmtId="44" fontId="0" fillId="0" borderId="1" xfId="1" applyFont="1" applyBorder="1" applyAlignment="1">
      <alignment vertical="top"/>
    </xf>
    <xf numFmtId="165" fontId="0" fillId="0" borderId="1" xfId="0" applyNumberFormat="1" applyBorder="1" applyAlignment="1">
      <alignment vertical="top"/>
    </xf>
    <xf numFmtId="0" fontId="0" fillId="0" borderId="2" xfId="0" applyBorder="1" applyAlignment="1">
      <alignment vertical="top"/>
    </xf>
    <xf numFmtId="44" fontId="0" fillId="0" borderId="2" xfId="1" applyFont="1" applyBorder="1" applyAlignment="1">
      <alignment vertical="top"/>
    </xf>
    <xf numFmtId="165" fontId="0" fillId="0" borderId="2" xfId="0" applyNumberFormat="1" applyBorder="1" applyAlignment="1">
      <alignment vertical="top"/>
    </xf>
    <xf numFmtId="44" fontId="0" fillId="0" borderId="0" xfId="0" applyNumberFormat="1" applyAlignment="1">
      <alignment vertical="top"/>
    </xf>
    <xf numFmtId="0" fontId="0" fillId="0" borderId="0" xfId="0" applyAlignment="1">
      <alignment horizontal="center"/>
    </xf>
    <xf numFmtId="166" fontId="0" fillId="0" borderId="0" xfId="2" applyNumberFormat="1" applyFont="1"/>
    <xf numFmtId="164" fontId="0" fillId="0" borderId="0" xfId="1" applyNumberFormat="1" applyFont="1" applyAlignment="1">
      <alignment horizontal="right"/>
    </xf>
    <xf numFmtId="0" fontId="2" fillId="4" borderId="1" xfId="0" applyFont="1" applyFill="1" applyBorder="1" applyAlignment="1">
      <alignment horizontal="center"/>
    </xf>
    <xf numFmtId="14" fontId="0" fillId="0" borderId="1" xfId="0" applyNumberFormat="1" applyBorder="1" applyAlignment="1">
      <alignment horizontal="center"/>
    </xf>
    <xf numFmtId="0" fontId="0" fillId="0" borderId="1" xfId="0" applyBorder="1" applyAlignment="1">
      <alignment horizontal="center"/>
    </xf>
    <xf numFmtId="44" fontId="0" fillId="0" borderId="1" xfId="1" applyFont="1" applyBorder="1" applyAlignment="1">
      <alignment horizontal="center"/>
    </xf>
    <xf numFmtId="10" fontId="0" fillId="0" borderId="1" xfId="2" applyNumberFormat="1" applyFont="1" applyBorder="1" applyAlignment="1">
      <alignment horizontal="center"/>
    </xf>
    <xf numFmtId="0" fontId="2" fillId="2" borderId="1" xfId="0" applyFont="1" applyFill="1" applyBorder="1" applyAlignment="1">
      <alignment horizontal="center"/>
    </xf>
    <xf numFmtId="0" fontId="0" fillId="9" borderId="1" xfId="0" applyFill="1" applyBorder="1" applyAlignment="1">
      <alignment horizontal="center" vertical="center"/>
    </xf>
    <xf numFmtId="0" fontId="0" fillId="9" borderId="1" xfId="0" applyFill="1" applyBorder="1" applyAlignment="1">
      <alignment horizontal="center"/>
    </xf>
    <xf numFmtId="0" fontId="0" fillId="9" borderId="15" xfId="0" applyFill="1" applyBorder="1" applyAlignment="1">
      <alignment horizontal="center"/>
    </xf>
    <xf numFmtId="0" fontId="0" fillId="0" borderId="0" xfId="0" applyAlignment="1">
      <alignment horizontal="center" vertical="top"/>
    </xf>
    <xf numFmtId="0" fontId="5" fillId="6" borderId="1" xfId="0" applyFont="1" applyFill="1" applyBorder="1" applyAlignment="1">
      <alignment horizontal="center"/>
    </xf>
    <xf numFmtId="44" fontId="0" fillId="0" borderId="0" xfId="1" applyFont="1" applyAlignment="1">
      <alignment horizontal="center"/>
    </xf>
  </cellXfs>
  <cellStyles count="3">
    <cellStyle name="Currency" xfId="1" builtinId="4"/>
    <cellStyle name="Normal" xfId="0" builtinId="0"/>
    <cellStyle name="Percent" xfId="2" builtinId="5"/>
  </cellStyles>
  <dxfs count="23">
    <dxf>
      <font>
        <color rgb="FF9C0006"/>
      </font>
    </dxf>
    <dxf>
      <fill>
        <patternFill>
          <bgColor theme="4" tint="0.39994506668294322"/>
        </patternFill>
      </fill>
    </dxf>
    <dxf>
      <fill>
        <patternFill>
          <bgColor theme="9" tint="0.39994506668294322"/>
        </patternFill>
      </fill>
    </dxf>
    <dxf>
      <font>
        <b val="0"/>
        <i val="0"/>
        <strike val="0"/>
        <condense val="0"/>
        <extend val="0"/>
        <outline val="0"/>
        <shadow val="0"/>
        <u val="none"/>
        <vertAlign val="baseline"/>
        <sz val="11"/>
        <color theme="1"/>
        <name val="Calibri"/>
        <family val="2"/>
        <scheme val="minor"/>
      </font>
      <numFmt numFmtId="166" formatCode="0.0%"/>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numFmt numFmtId="14" formatCode="0.00%"/>
    </dxf>
    <dxf>
      <font>
        <b val="0"/>
        <i val="0"/>
        <strike val="0"/>
        <condense val="0"/>
        <extend val="0"/>
        <outline val="0"/>
        <shadow val="0"/>
        <u val="none"/>
        <vertAlign val="baseline"/>
        <sz val="11"/>
        <color theme="1"/>
        <name val="Calibri"/>
        <family val="2"/>
        <scheme val="minor"/>
      </font>
    </dxf>
    <dxf>
      <alignment horizontal="center" vertical="bottom" textRotation="0" wrapText="0" indent="0" justifyLastLine="0" shrinkToFit="0" readingOrder="0"/>
    </dxf>
    <dxf>
      <numFmt numFmtId="165" formatCode="[$-409]mmmm\ d\,\ yyyy;@"/>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top"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alignment horizontal="general" vertical="top"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4" formatCode="_(&quot;$&quot;* #,##0_);_(&quot;$&quot;* \(#,##0\);_(&quot;$&quot;* &quot;-&quot;??_);_(@_)"/>
      <alignment horizontal="righ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JLoka</a:t>
            </a:r>
            <a:r>
              <a:rPr lang="en-US" baseline="0"/>
              <a:t> Sock Returns</a:t>
            </a:r>
            <a:endParaRPr lang="en-US"/>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Sheet8!$B$4:$B$14</c15:sqref>
                  </c15:fullRef>
                </c:ext>
              </c:extLst>
              <c:f>Sheet8!$B$6:$B$14</c:f>
              <c:numCache>
                <c:formatCode>General</c:formatCode>
                <c:ptCount val="9"/>
                <c:pt idx="0">
                  <c:v>2013</c:v>
                </c:pt>
                <c:pt idx="1">
                  <c:v>2014</c:v>
                </c:pt>
                <c:pt idx="2">
                  <c:v>2015</c:v>
                </c:pt>
                <c:pt idx="3">
                  <c:v>2016</c:v>
                </c:pt>
                <c:pt idx="4">
                  <c:v>2017</c:v>
                </c:pt>
                <c:pt idx="5">
                  <c:v>2018</c:v>
                </c:pt>
                <c:pt idx="6">
                  <c:v>2019</c:v>
                </c:pt>
                <c:pt idx="7">
                  <c:v>2020</c:v>
                </c:pt>
                <c:pt idx="8">
                  <c:v>2021</c:v>
                </c:pt>
              </c:numCache>
            </c:numRef>
          </c:cat>
          <c:val>
            <c:numRef>
              <c:extLst>
                <c:ext xmlns:c15="http://schemas.microsoft.com/office/drawing/2012/chart" uri="{02D57815-91ED-43cb-92C2-25804820EDAC}">
                  <c15:fullRef>
                    <c15:sqref>Sheet8!$C$4:$C$14</c15:sqref>
                  </c15:fullRef>
                </c:ext>
              </c:extLst>
              <c:f>Sheet8!$C$6:$C$14</c:f>
              <c:numCache>
                <c:formatCode>0.00%</c:formatCode>
                <c:ptCount val="9"/>
                <c:pt idx="0">
                  <c:v>0.92177328897518906</c:v>
                </c:pt>
                <c:pt idx="1">
                  <c:v>6.8127943760001086E-2</c:v>
                </c:pt>
                <c:pt idx="2">
                  <c:v>0.36546159306277792</c:v>
                </c:pt>
                <c:pt idx="3">
                  <c:v>7.0132702277079795E-2</c:v>
                </c:pt>
                <c:pt idx="4">
                  <c:v>0.29363415525332215</c:v>
                </c:pt>
                <c:pt idx="5">
                  <c:v>0.57614710490615306</c:v>
                </c:pt>
                <c:pt idx="6">
                  <c:v>0.42653486070031332</c:v>
                </c:pt>
                <c:pt idx="7">
                  <c:v>0.27532486384594812</c:v>
                </c:pt>
                <c:pt idx="8">
                  <c:v>0.39228657162766789</c:v>
                </c:pt>
              </c:numCache>
            </c:numRef>
          </c:val>
          <c:smooth val="0"/>
          <c:extLst>
            <c:ext xmlns:c16="http://schemas.microsoft.com/office/drawing/2014/chart" uri="{C3380CC4-5D6E-409C-BE32-E72D297353CC}">
              <c16:uniqueId val="{00000000-DCD0-4F92-BB1E-6308041B97FE}"/>
            </c:ext>
          </c:extLst>
        </c:ser>
        <c:ser>
          <c:idx val="1"/>
          <c:order val="1"/>
          <c:spPr>
            <a:ln w="28575" cap="rnd">
              <a:solidFill>
                <a:schemeClr val="accent2"/>
              </a:solidFill>
              <a:round/>
            </a:ln>
            <a:effectLst/>
          </c:spPr>
          <c:marker>
            <c:symbol val="none"/>
          </c:marker>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Sheet8!$B$4:$B$14</c15:sqref>
                  </c15:fullRef>
                </c:ext>
              </c:extLst>
              <c:f>Sheet8!$B$6:$B$14</c:f>
              <c:numCache>
                <c:formatCode>General</c:formatCode>
                <c:ptCount val="9"/>
                <c:pt idx="0">
                  <c:v>2013</c:v>
                </c:pt>
                <c:pt idx="1">
                  <c:v>2014</c:v>
                </c:pt>
                <c:pt idx="2">
                  <c:v>2015</c:v>
                </c:pt>
                <c:pt idx="3">
                  <c:v>2016</c:v>
                </c:pt>
                <c:pt idx="4">
                  <c:v>2017</c:v>
                </c:pt>
                <c:pt idx="5">
                  <c:v>2018</c:v>
                </c:pt>
                <c:pt idx="6">
                  <c:v>2019</c:v>
                </c:pt>
                <c:pt idx="7">
                  <c:v>2020</c:v>
                </c:pt>
                <c:pt idx="8">
                  <c:v>2021</c:v>
                </c:pt>
              </c:numCache>
            </c:numRef>
          </c:cat>
          <c:val>
            <c:numRef>
              <c:extLst>
                <c:ext xmlns:c15="http://schemas.microsoft.com/office/drawing/2012/chart" uri="{02D57815-91ED-43cb-92C2-25804820EDAC}">
                  <c15:fullRef>
                    <c15:sqref>Sheet8!$D$4:$D$14</c15:sqref>
                  </c15:fullRef>
                </c:ext>
              </c:extLst>
              <c:f>Sheet8!$D$6:$D$14</c:f>
              <c:numCache>
                <c:formatCode>0.00%</c:formatCode>
                <c:ptCount val="9"/>
                <c:pt idx="0">
                  <c:v>0.62960068734179109</c:v>
                </c:pt>
                <c:pt idx="1">
                  <c:v>0.91148131598852689</c:v>
                </c:pt>
                <c:pt idx="2">
                  <c:v>0.49768864602230933</c:v>
                </c:pt>
                <c:pt idx="3">
                  <c:v>0.39161580424131404</c:v>
                </c:pt>
                <c:pt idx="4">
                  <c:v>3.4430219338273838E-2</c:v>
                </c:pt>
                <c:pt idx="5">
                  <c:v>0.88951744204066985</c:v>
                </c:pt>
                <c:pt idx="6">
                  <c:v>0.21054797943785342</c:v>
                </c:pt>
                <c:pt idx="7">
                  <c:v>0.29914873161213729</c:v>
                </c:pt>
                <c:pt idx="8">
                  <c:v>0.72402950173284431</c:v>
                </c:pt>
              </c:numCache>
            </c:numRef>
          </c:val>
          <c:smooth val="0"/>
          <c:extLst>
            <c:ext xmlns:c16="http://schemas.microsoft.com/office/drawing/2014/chart" uri="{C3380CC4-5D6E-409C-BE32-E72D297353CC}">
              <c16:uniqueId val="{00000001-DCD0-4F92-BB1E-6308041B97FE}"/>
            </c:ext>
          </c:extLst>
        </c:ser>
        <c:ser>
          <c:idx val="2"/>
          <c:order val="2"/>
          <c:spPr>
            <a:ln w="28575" cap="rnd">
              <a:solidFill>
                <a:schemeClr val="accent3"/>
              </a:solidFill>
              <a:round/>
            </a:ln>
            <a:effectLst/>
          </c:spPr>
          <c:marker>
            <c:symbol val="none"/>
          </c:marker>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Sheet8!$B$4:$B$14</c15:sqref>
                  </c15:fullRef>
                </c:ext>
              </c:extLst>
              <c:f>Sheet8!$B$6:$B$14</c:f>
              <c:numCache>
                <c:formatCode>General</c:formatCode>
                <c:ptCount val="9"/>
                <c:pt idx="0">
                  <c:v>2013</c:v>
                </c:pt>
                <c:pt idx="1">
                  <c:v>2014</c:v>
                </c:pt>
                <c:pt idx="2">
                  <c:v>2015</c:v>
                </c:pt>
                <c:pt idx="3">
                  <c:v>2016</c:v>
                </c:pt>
                <c:pt idx="4">
                  <c:v>2017</c:v>
                </c:pt>
                <c:pt idx="5">
                  <c:v>2018</c:v>
                </c:pt>
                <c:pt idx="6">
                  <c:v>2019</c:v>
                </c:pt>
                <c:pt idx="7">
                  <c:v>2020</c:v>
                </c:pt>
                <c:pt idx="8">
                  <c:v>2021</c:v>
                </c:pt>
              </c:numCache>
            </c:numRef>
          </c:cat>
          <c:val>
            <c:numRef>
              <c:extLst>
                <c:ext xmlns:c15="http://schemas.microsoft.com/office/drawing/2012/chart" uri="{02D57815-91ED-43cb-92C2-25804820EDAC}">
                  <c15:fullRef>
                    <c15:sqref>Sheet8!$E$4:$E$14</c15:sqref>
                  </c15:fullRef>
                </c:ext>
              </c:extLst>
              <c:f>Sheet8!$E$6:$E$14</c:f>
              <c:numCache>
                <c:formatCode>0.00%</c:formatCode>
                <c:ptCount val="9"/>
                <c:pt idx="0">
                  <c:v>0.47613209032723569</c:v>
                </c:pt>
                <c:pt idx="1">
                  <c:v>0.33943465465660472</c:v>
                </c:pt>
                <c:pt idx="2">
                  <c:v>0.56689538950625051</c:v>
                </c:pt>
                <c:pt idx="3">
                  <c:v>0.70946690247282718</c:v>
                </c:pt>
                <c:pt idx="4">
                  <c:v>0.48517707387830089</c:v>
                </c:pt>
                <c:pt idx="5">
                  <c:v>0.34191490610491293</c:v>
                </c:pt>
                <c:pt idx="6">
                  <c:v>0.75340815882757395</c:v>
                </c:pt>
                <c:pt idx="7">
                  <c:v>0.73473476496323886</c:v>
                </c:pt>
                <c:pt idx="8">
                  <c:v>6.5175240099631937E-3</c:v>
                </c:pt>
              </c:numCache>
            </c:numRef>
          </c:val>
          <c:smooth val="0"/>
          <c:extLst>
            <c:ext xmlns:c16="http://schemas.microsoft.com/office/drawing/2014/chart" uri="{C3380CC4-5D6E-409C-BE32-E72D297353CC}">
              <c16:uniqueId val="{00000002-DCD0-4F92-BB1E-6308041B97FE}"/>
            </c:ext>
          </c:extLst>
        </c:ser>
        <c:dLbls>
          <c:dLblPos val="l"/>
          <c:showLegendKey val="0"/>
          <c:showVal val="1"/>
          <c:showCatName val="0"/>
          <c:showSerName val="0"/>
          <c:showPercent val="0"/>
          <c:showBubbleSize val="0"/>
        </c:dLbls>
        <c:smooth val="0"/>
        <c:axId val="1180860607"/>
        <c:axId val="1180858207"/>
      </c:lineChart>
      <c:catAx>
        <c:axId val="1180860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180858207"/>
        <c:crosses val="autoZero"/>
        <c:auto val="1"/>
        <c:lblAlgn val="ctr"/>
        <c:lblOffset val="100"/>
        <c:noMultiLvlLbl val="0"/>
      </c:catAx>
      <c:valAx>
        <c:axId val="11808582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180860607"/>
        <c:crosses val="autoZero"/>
        <c:crossBetween val="between"/>
      </c:valAx>
      <c:dTable>
        <c:showHorzBorder val="1"/>
        <c:showVertBorder val="1"/>
        <c:showOutline val="1"/>
        <c:showKeys val="0"/>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1"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b="1"/>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1" i="0" u="none" strike="noStrike" kern="1200" baseline="0">
                <a:solidFill>
                  <a:schemeClr val="tx2"/>
                </a:solidFill>
                <a:latin typeface="+mn-lt"/>
                <a:ea typeface="+mn-ea"/>
                <a:cs typeface="+mn-cs"/>
              </a:defRPr>
            </a:pPr>
            <a:r>
              <a:rPr lang="en-US"/>
              <a:t>The Potfolio Allocation</a:t>
            </a:r>
          </a:p>
        </c:rich>
      </c:tx>
      <c:overlay val="0"/>
      <c:spPr>
        <a:noFill/>
        <a:ln>
          <a:noFill/>
        </a:ln>
        <a:effectLst/>
      </c:spPr>
      <c:txPr>
        <a:bodyPr rot="0" spcFirstLastPara="1" vertOverflow="ellipsis" vert="horz" wrap="square" anchor="ctr" anchorCtr="1"/>
        <a:lstStyle/>
        <a:p>
          <a:pPr>
            <a:defRPr sz="1440" b="1" i="0" u="none" strike="noStrike" kern="1200" baseline="0">
              <a:solidFill>
                <a:schemeClr val="tx2"/>
              </a:solidFill>
              <a:latin typeface="+mn-lt"/>
              <a:ea typeface="+mn-ea"/>
              <a:cs typeface="+mn-cs"/>
            </a:defRPr>
          </a:pPr>
          <a:endParaRPr lang="en-US"/>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p3d/>
            </c:spPr>
            <c:extLst>
              <c:ext xmlns:c16="http://schemas.microsoft.com/office/drawing/2014/chart" uri="{C3380CC4-5D6E-409C-BE32-E72D297353CC}">
                <c16:uniqueId val="{00000001-45A3-40A4-989A-7A690D2C05E7}"/>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sp3d/>
            </c:spPr>
            <c:extLst>
              <c:ext xmlns:c16="http://schemas.microsoft.com/office/drawing/2014/chart" uri="{C3380CC4-5D6E-409C-BE32-E72D297353CC}">
                <c16:uniqueId val="{00000003-45A3-40A4-989A-7A690D2C05E7}"/>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sp3d/>
            </c:spPr>
            <c:extLst>
              <c:ext xmlns:c16="http://schemas.microsoft.com/office/drawing/2014/chart" uri="{C3380CC4-5D6E-409C-BE32-E72D297353CC}">
                <c16:uniqueId val="{00000005-45A3-40A4-989A-7A690D2C05E7}"/>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sp3d/>
            </c:spPr>
            <c:extLst>
              <c:ext xmlns:c16="http://schemas.microsoft.com/office/drawing/2014/chart" uri="{C3380CC4-5D6E-409C-BE32-E72D297353CC}">
                <c16:uniqueId val="{00000007-45A3-40A4-989A-7A690D2C05E7}"/>
              </c:ext>
            </c:extLst>
          </c:dPt>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2"/>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Sheet9!$B$3:$B$6</c:f>
              <c:strCache>
                <c:ptCount val="4"/>
                <c:pt idx="0">
                  <c:v>Stocks</c:v>
                </c:pt>
                <c:pt idx="1">
                  <c:v>Bonds</c:v>
                </c:pt>
                <c:pt idx="2">
                  <c:v>Real Estate</c:v>
                </c:pt>
                <c:pt idx="3">
                  <c:v>Cash</c:v>
                </c:pt>
              </c:strCache>
            </c:strRef>
          </c:cat>
          <c:val>
            <c:numRef>
              <c:f>Sheet9!$C$3:$C$6</c:f>
              <c:numCache>
                <c:formatCode>0.0%</c:formatCode>
                <c:ptCount val="4"/>
                <c:pt idx="0">
                  <c:v>0.60699999999999998</c:v>
                </c:pt>
                <c:pt idx="1">
                  <c:v>0.29299999999999998</c:v>
                </c:pt>
                <c:pt idx="2">
                  <c:v>6.5000000000000002E-2</c:v>
                </c:pt>
                <c:pt idx="3">
                  <c:v>3.5000000000000003E-2</c:v>
                </c:pt>
              </c:numCache>
            </c:numRef>
          </c:val>
          <c:extLst>
            <c:ext xmlns:c16="http://schemas.microsoft.com/office/drawing/2014/chart" uri="{C3380CC4-5D6E-409C-BE32-E72D297353CC}">
              <c16:uniqueId val="{00000000-00FD-4EB6-A61E-FA78A920F0AB}"/>
            </c:ext>
          </c:extLst>
        </c:ser>
        <c:dLbls>
          <c:dLblPos val="bestFit"/>
          <c:showLegendKey val="0"/>
          <c:showVal val="1"/>
          <c:showCatName val="0"/>
          <c:showSerName val="0"/>
          <c:showPercent val="0"/>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1200" b="1"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sz="1200" b="1"/>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absolute">
    <xdr:from>
      <xdr:col>10</xdr:col>
      <xdr:colOff>400050</xdr:colOff>
      <xdr:row>0</xdr:row>
      <xdr:rowOff>66675</xdr:rowOff>
    </xdr:from>
    <xdr:to>
      <xdr:col>13</xdr:col>
      <xdr:colOff>400050</xdr:colOff>
      <xdr:row>18</xdr:row>
      <xdr:rowOff>114300</xdr:rowOff>
    </xdr:to>
    <mc:AlternateContent xmlns:mc="http://schemas.openxmlformats.org/markup-compatibility/2006" xmlns:sle15="http://schemas.microsoft.com/office/drawing/2012/slicer">
      <mc:Choice Requires="sle15">
        <xdr:graphicFrame macro="">
          <xdr:nvGraphicFramePr>
            <xdr:cNvPr id="2" name="COMPANY_NAME">
              <a:extLst>
                <a:ext uri="{FF2B5EF4-FFF2-40B4-BE49-F238E27FC236}">
                  <a16:creationId xmlns:a16="http://schemas.microsoft.com/office/drawing/2014/main" id="{667605D0-8334-FF95-FC58-ECB955FC2ED6}"/>
                </a:ext>
              </a:extLst>
            </xdr:cNvPr>
            <xdr:cNvGraphicFramePr/>
          </xdr:nvGraphicFramePr>
          <xdr:xfrm>
            <a:off x="0" y="0"/>
            <a:ext cx="0" cy="0"/>
          </xdr:xfrm>
          <a:graphic>
            <a:graphicData uri="http://schemas.microsoft.com/office/drawing/2010/slicer">
              <sle:slicer xmlns:sle="http://schemas.microsoft.com/office/drawing/2010/slicer" name="COMPANY_NAME"/>
            </a:graphicData>
          </a:graphic>
        </xdr:graphicFrame>
      </mc:Choice>
      <mc:Fallback xmlns="">
        <xdr:sp macro="" textlink="">
          <xdr:nvSpPr>
            <xdr:cNvPr id="0" name=""/>
            <xdr:cNvSpPr>
              <a:spLocks noTextEdit="1"/>
            </xdr:cNvSpPr>
          </xdr:nvSpPr>
          <xdr:spPr>
            <a:xfrm>
              <a:off x="10277475" y="6667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238125</xdr:colOff>
      <xdr:row>0</xdr:row>
      <xdr:rowOff>76200</xdr:rowOff>
    </xdr:from>
    <xdr:to>
      <xdr:col>10</xdr:col>
      <xdr:colOff>238125</xdr:colOff>
      <xdr:row>18</xdr:row>
      <xdr:rowOff>123825</xdr:rowOff>
    </xdr:to>
    <mc:AlternateContent xmlns:mc="http://schemas.openxmlformats.org/markup-compatibility/2006" xmlns:sle15="http://schemas.microsoft.com/office/drawing/2012/slicer">
      <mc:Choice Requires="sle15">
        <xdr:graphicFrame macro="">
          <xdr:nvGraphicFramePr>
            <xdr:cNvPr id="3" name="INVESTMENT AMOUNT (USD)">
              <a:extLst>
                <a:ext uri="{FF2B5EF4-FFF2-40B4-BE49-F238E27FC236}">
                  <a16:creationId xmlns:a16="http://schemas.microsoft.com/office/drawing/2014/main" id="{34C2D707-DCB3-41FC-EB4C-25614133E04E}"/>
                </a:ext>
              </a:extLst>
            </xdr:cNvPr>
            <xdr:cNvGraphicFramePr/>
          </xdr:nvGraphicFramePr>
          <xdr:xfrm>
            <a:off x="0" y="0"/>
            <a:ext cx="0" cy="0"/>
          </xdr:xfrm>
          <a:graphic>
            <a:graphicData uri="http://schemas.microsoft.com/office/drawing/2010/slicer">
              <sle:slicer xmlns:sle="http://schemas.microsoft.com/office/drawing/2010/slicer" name="INVESTMENT AMOUNT (USD)"/>
            </a:graphicData>
          </a:graphic>
        </xdr:graphicFrame>
      </mc:Choice>
      <mc:Fallback xmlns="">
        <xdr:sp macro="" textlink="">
          <xdr:nvSpPr>
            <xdr:cNvPr id="0" name=""/>
            <xdr:cNvSpPr>
              <a:spLocks noTextEdit="1"/>
            </xdr:cNvSpPr>
          </xdr:nvSpPr>
          <xdr:spPr>
            <a:xfrm>
              <a:off x="8286750" y="76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190499</xdr:colOff>
      <xdr:row>0</xdr:row>
      <xdr:rowOff>185736</xdr:rowOff>
    </xdr:from>
    <xdr:to>
      <xdr:col>18</xdr:col>
      <xdr:colOff>447674</xdr:colOff>
      <xdr:row>20</xdr:row>
      <xdr:rowOff>123824</xdr:rowOff>
    </xdr:to>
    <xdr:graphicFrame macro="">
      <xdr:nvGraphicFramePr>
        <xdr:cNvPr id="3" name="Chart 2">
          <a:extLst>
            <a:ext uri="{FF2B5EF4-FFF2-40B4-BE49-F238E27FC236}">
              <a16:creationId xmlns:a16="http://schemas.microsoft.com/office/drawing/2014/main" id="{8BA38FCA-E474-5F44-D2BD-43AF24612B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209550</xdr:colOff>
      <xdr:row>3</xdr:row>
      <xdr:rowOff>128587</xdr:rowOff>
    </xdr:from>
    <xdr:to>
      <xdr:col>11</xdr:col>
      <xdr:colOff>514350</xdr:colOff>
      <xdr:row>18</xdr:row>
      <xdr:rowOff>14287</xdr:rowOff>
    </xdr:to>
    <xdr:graphicFrame macro="">
      <xdr:nvGraphicFramePr>
        <xdr:cNvPr id="2" name="Chart 1">
          <a:extLst>
            <a:ext uri="{FF2B5EF4-FFF2-40B4-BE49-F238E27FC236}">
              <a16:creationId xmlns:a16="http://schemas.microsoft.com/office/drawing/2014/main" id="{813F01E7-24A8-C626-808C-37CA7D764B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_NAME" xr10:uid="{01C3EAA2-3CA2-48B6-8C0C-A74C74C9E24D}" sourceName="COMPANY_NAME">
  <extLst>
    <x:ext xmlns:x15="http://schemas.microsoft.com/office/spreadsheetml/2010/11/main" uri="{2F2917AC-EB37-4324-AD4E-5DD8C200BD13}">
      <x15:tableSlicerCache tableId="2" column="3"/>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VESTMENT_AMOUNT__USD" xr10:uid="{6D3F0E70-2139-4563-812F-FA2D0194416E}" sourceName="INVESTMENT AMOUNT (USD)">
  <extLst>
    <x:ext xmlns:x15="http://schemas.microsoft.com/office/spreadsheetml/2010/11/main" uri="{2F2917AC-EB37-4324-AD4E-5DD8C200BD13}">
      <x15:tableSlicerCache tableId="2"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MPANY_NAME" xr10:uid="{D2D1BF6C-F74D-49B7-A9DD-B6FC782BA13F}" cache="Slicer_COMPANY_NAME" caption="COMPANY_NAME" rowHeight="241300"/>
  <slicer name="INVESTMENT AMOUNT (USD)" xr10:uid="{3A768713-1BDF-4D4C-9D8A-AFB79056E964}" cache="Slicer_INVESTMENT_AMOUNT__USD" caption="INVESTMENT AMOUNT (USD)"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85DC015-9960-47FA-A637-6B66C3CB4FFA}" name="JLoka_Investors" displayName="JLoka_Investors" ref="B1:F9" totalsRowShown="0" dataDxfId="15" tableBorderDxfId="14">
  <autoFilter ref="B1:F9" xr:uid="{22AB70FF-96FA-4025-A517-8BDE3ECE5EBF}">
    <filterColumn colId="2">
      <filters>
        <filter val="Jafar Loka-01"/>
      </filters>
    </filterColumn>
  </autoFilter>
  <tableColumns count="5">
    <tableColumn id="1" xr3:uid="{0BE1A407-37E2-45E1-A4B9-6EE27C852CA8}" name="INVESTOR_ID" dataDxfId="13"/>
    <tableColumn id="2" xr3:uid="{F40E02B0-B4B8-4130-A683-00045FEF2BC6}" name="INVESTOR_NAME" dataDxfId="12"/>
    <tableColumn id="3" xr3:uid="{EB541472-54EA-4246-959A-8F16F8FDA58F}" name="COMPANY_NAME" dataDxfId="11"/>
    <tableColumn id="4" xr3:uid="{B149ED9E-81EF-4313-90DA-EDCF3ACBE03C}" name="INVESTMENT AMOUNT (USD)" dataDxfId="10" dataCellStyle="Currency"/>
    <tableColumn id="5" xr3:uid="{5C700949-A13F-423E-81D1-C89753142DF7}" name="INVESTMENT_DATE" dataDxfId="9"/>
  </tableColumns>
  <tableStyleInfo name="TableStyleLight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0111534-CC78-4AAC-9FB0-08AB9DCECE24}" name="Table4" displayName="Table4" ref="B3:E14" totalsRowShown="0" headerRowDxfId="8" dataDxfId="7" dataCellStyle="Percent">
  <autoFilter ref="B3:E14" xr:uid="{E0111534-CC78-4AAC-9FB0-08AB9DCECE24}"/>
  <tableColumns count="4">
    <tableColumn id="1" xr3:uid="{B5AEA49B-906B-4BA3-9E02-DF265E516312}" name="Year"/>
    <tableColumn id="2" xr3:uid="{8C94788E-9FB3-46B0-A805-B97EFDDC36C5}" name="Jloka-01" dataDxfId="6" dataCellStyle="Percent">
      <calculatedColumnFormula>RAND()</calculatedColumnFormula>
    </tableColumn>
    <tableColumn id="3" xr3:uid="{A2693482-C7C8-4B05-9865-B12ABE5CC110}" name="Jloka-02" dataDxfId="5" dataCellStyle="Percent">
      <calculatedColumnFormula>RAND()</calculatedColumnFormula>
    </tableColumn>
    <tableColumn id="4" xr3:uid="{8F26A52C-2531-497C-A839-2A770D581E4E}" name="Jloka-03" dataDxfId="4" dataCellStyle="Percent">
      <calculatedColumnFormula>RAND()</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2B397-4223-4F15-9DB4-892BEE67AC07}" name="Table3" displayName="Table3" ref="B2:C6" totalsRowShown="0">
  <autoFilter ref="B2:C6" xr:uid="{80A2B397-4223-4F15-9DB4-892BEE67AC07}"/>
  <tableColumns count="2">
    <tableColumn id="1" xr3:uid="{C09EC9D1-D203-4F94-BBB0-27B52BD67348}" name="Investment Type"/>
    <tableColumn id="2" xr3:uid="{DDA73600-5426-4CA3-8EA1-3D48A09909F0}" name="Portfolio Allocation" dataDxfId="3" dataCellStyle="Percent"/>
  </tableColumns>
  <tableStyleInfo name="TableStyleLight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F768BE-F4AC-48CD-9271-53238CC90A9E}" name="Table5" displayName="Table5" ref="B2:G8" totalsRowShown="0" headerRowDxfId="22">
  <autoFilter ref="B2:G8" xr:uid="{26F768BE-F4AC-48CD-9271-53238CC90A9E}"/>
  <tableColumns count="6">
    <tableColumn id="1" xr3:uid="{CD0DE5D2-C8ED-45CF-8F5D-E6E88682B06A}" name="Applicant" dataDxfId="21"/>
    <tableColumn id="2" xr3:uid="{89F30673-4126-482B-AFC9-E6FAD8DBE3F4}" name="Credit Score" dataDxfId="20"/>
    <tableColumn id="3" xr3:uid="{4BC38630-914F-4BE8-9B0A-961F3FF855C4}" name="Loan Amount" dataDxfId="19" dataCellStyle="Currency"/>
    <tableColumn id="4" xr3:uid="{7CE22975-ED55-49DD-B302-D5C876BF8196}" name="Employement Status" dataDxfId="18"/>
    <tableColumn id="5" xr3:uid="{BD342C3D-5A81-4372-A781-AB1A62E26D7B}" name="Good Credit?" dataDxfId="17">
      <calculatedColumnFormula>IF(Table5[[#This Row],[Credit Score]]&gt;700, "Yes", "No")</calculatedColumnFormula>
    </tableColumn>
    <tableColumn id="6" xr3:uid="{14D8C1DF-DE7F-494A-8E09-15D4A0C38048}" name="Approved or Denied?" dataDxfId="16">
      <calculatedColumnFormula>IF(OR(Table5[[#This Row],[Good Credit?]]="Yes", Table5[[#This Row],[Employement Status]]="Full-Time"), "Approved", IF(AND(C3&gt;650, Table5[[#This Row],[Loan Amount]]&lt;12000), "Approved", "Denied"))</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8"/>
  <sheetViews>
    <sheetView workbookViewId="0">
      <selection activeCell="D2" sqref="D2:D8"/>
    </sheetView>
  </sheetViews>
  <sheetFormatPr defaultRowHeight="15" x14ac:dyDescent="0.25"/>
  <cols>
    <col min="2" max="2" width="15.42578125" customWidth="1"/>
    <col min="3" max="3" width="12.140625" customWidth="1"/>
    <col min="4" max="4" width="15.7109375" customWidth="1"/>
  </cols>
  <sheetData>
    <row r="2" spans="2:4" x14ac:dyDescent="0.25">
      <c r="B2" t="s">
        <v>0</v>
      </c>
      <c r="C2">
        <v>1</v>
      </c>
      <c r="D2" s="1">
        <v>46144</v>
      </c>
    </row>
    <row r="3" spans="2:4" x14ac:dyDescent="0.25">
      <c r="B3" t="s">
        <v>1</v>
      </c>
      <c r="C3">
        <v>2</v>
      </c>
      <c r="D3" s="1">
        <v>46145</v>
      </c>
    </row>
    <row r="4" spans="2:4" x14ac:dyDescent="0.25">
      <c r="B4" t="s">
        <v>2</v>
      </c>
      <c r="C4">
        <v>3</v>
      </c>
      <c r="D4" s="1">
        <v>46146</v>
      </c>
    </row>
    <row r="5" spans="2:4" x14ac:dyDescent="0.25">
      <c r="B5" t="s">
        <v>3</v>
      </c>
      <c r="C5">
        <v>4</v>
      </c>
      <c r="D5" s="1">
        <v>46147</v>
      </c>
    </row>
    <row r="6" spans="2:4" x14ac:dyDescent="0.25">
      <c r="B6" t="s">
        <v>4</v>
      </c>
      <c r="C6">
        <v>5</v>
      </c>
      <c r="D6" s="1">
        <v>46148</v>
      </c>
    </row>
    <row r="7" spans="2:4" x14ac:dyDescent="0.25">
      <c r="B7" t="s">
        <v>5</v>
      </c>
      <c r="C7">
        <v>6</v>
      </c>
      <c r="D7" s="1">
        <v>46149</v>
      </c>
    </row>
    <row r="8" spans="2:4" x14ac:dyDescent="0.25">
      <c r="B8" t="s">
        <v>6</v>
      </c>
      <c r="C8">
        <v>7</v>
      </c>
      <c r="D8" s="1">
        <v>46150</v>
      </c>
    </row>
  </sheetData>
  <phoneticPr fontId="3"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03D7-B63C-4C14-ADB0-194A7F9BABAD}">
  <dimension ref="B2:E6"/>
  <sheetViews>
    <sheetView showGridLines="0" workbookViewId="0">
      <selection activeCell="D11" sqref="D11"/>
    </sheetView>
  </sheetViews>
  <sheetFormatPr defaultRowHeight="15" x14ac:dyDescent="0.25"/>
  <cols>
    <col min="2" max="2" width="15.85546875" customWidth="1"/>
    <col min="3" max="3" width="18" customWidth="1"/>
    <col min="4" max="4" width="20.28515625" style="2" customWidth="1"/>
    <col min="5" max="5" width="24.42578125" style="3" customWidth="1"/>
  </cols>
  <sheetData>
    <row r="2" spans="2:5" x14ac:dyDescent="0.25">
      <c r="B2" s="7" t="s">
        <v>7</v>
      </c>
      <c r="C2" s="7" t="s">
        <v>8</v>
      </c>
      <c r="D2" s="8" t="s">
        <v>9</v>
      </c>
      <c r="E2" s="9" t="s">
        <v>10</v>
      </c>
    </row>
    <row r="3" spans="2:5" x14ac:dyDescent="0.25">
      <c r="B3" s="4" t="s">
        <v>12</v>
      </c>
      <c r="C3" s="4" t="s">
        <v>11</v>
      </c>
      <c r="D3" s="5">
        <v>150.5</v>
      </c>
      <c r="E3" s="6">
        <v>0.1</v>
      </c>
    </row>
    <row r="4" spans="2:5" x14ac:dyDescent="0.25">
      <c r="B4" s="4" t="s">
        <v>13</v>
      </c>
      <c r="C4" s="4" t="s">
        <v>16</v>
      </c>
      <c r="D4" s="5">
        <v>185.35</v>
      </c>
      <c r="E4" s="6">
        <v>0.01</v>
      </c>
    </row>
    <row r="5" spans="2:5" x14ac:dyDescent="0.25">
      <c r="B5" s="4" t="s">
        <v>14</v>
      </c>
      <c r="C5" s="4" t="s">
        <v>17</v>
      </c>
      <c r="D5" s="5">
        <v>250.25</v>
      </c>
      <c r="E5" s="6">
        <v>0.05</v>
      </c>
    </row>
    <row r="6" spans="2:5" x14ac:dyDescent="0.25">
      <c r="B6" s="4" t="s">
        <v>15</v>
      </c>
      <c r="C6" s="4" t="s">
        <v>18</v>
      </c>
      <c r="D6" s="5">
        <v>100.75</v>
      </c>
      <c r="E6" s="6">
        <v>0.15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F221F-0025-402B-A438-3CAAFA8F5C9B}">
  <dimension ref="A1:N11"/>
  <sheetViews>
    <sheetView showGridLines="0" workbookViewId="0">
      <selection sqref="A1:L1"/>
    </sheetView>
  </sheetViews>
  <sheetFormatPr defaultRowHeight="15" x14ac:dyDescent="0.25"/>
  <cols>
    <col min="9" max="9" width="21.42578125" customWidth="1"/>
    <col min="14" max="14" width="19.7109375" customWidth="1"/>
  </cols>
  <sheetData>
    <row r="1" spans="1:14" x14ac:dyDescent="0.25">
      <c r="A1" s="75" t="s">
        <v>19</v>
      </c>
      <c r="B1" s="75"/>
      <c r="C1" s="75"/>
      <c r="D1" s="75"/>
      <c r="E1" s="75"/>
      <c r="F1" s="75"/>
      <c r="G1" s="75"/>
      <c r="H1" s="75"/>
      <c r="I1" s="75"/>
      <c r="J1" s="75"/>
      <c r="K1" s="75"/>
      <c r="L1" s="75"/>
    </row>
    <row r="2" spans="1:14" x14ac:dyDescent="0.25">
      <c r="A2" s="70" t="s">
        <v>20</v>
      </c>
      <c r="B2" s="70"/>
      <c r="C2" s="70"/>
      <c r="D2" s="70"/>
      <c r="E2" s="70" t="s">
        <v>21</v>
      </c>
      <c r="F2" s="70"/>
      <c r="G2" s="70"/>
      <c r="H2" s="70"/>
      <c r="I2" s="70" t="s">
        <v>21</v>
      </c>
      <c r="J2" s="70"/>
      <c r="K2" s="70"/>
      <c r="L2" s="70"/>
    </row>
    <row r="3" spans="1:14" x14ac:dyDescent="0.25">
      <c r="A3" s="71">
        <v>46144</v>
      </c>
      <c r="B3" s="72"/>
      <c r="C3" s="72"/>
      <c r="D3" s="72"/>
      <c r="E3" s="73">
        <v>250.25</v>
      </c>
      <c r="F3" s="73"/>
      <c r="G3" s="73"/>
      <c r="H3" s="73"/>
      <c r="I3" s="72"/>
      <c r="J3" s="72"/>
      <c r="K3" s="72"/>
      <c r="L3" s="72"/>
      <c r="N3" s="11" t="s">
        <v>22</v>
      </c>
    </row>
    <row r="4" spans="1:14" x14ac:dyDescent="0.25">
      <c r="A4" s="71">
        <v>46145</v>
      </c>
      <c r="B4" s="72"/>
      <c r="C4" s="72"/>
      <c r="D4" s="72"/>
      <c r="E4" s="73">
        <v>300</v>
      </c>
      <c r="F4" s="73"/>
      <c r="G4" s="73"/>
      <c r="H4" s="73"/>
      <c r="I4" s="74">
        <f>(E4-E3)/E3</f>
        <v>0.19880119880119881</v>
      </c>
      <c r="J4" s="74"/>
      <c r="K4" s="74"/>
      <c r="L4" s="74"/>
      <c r="N4" s="10">
        <f>AVERAGE(I4:L11)</f>
        <v>-8.1596436336491718E-2</v>
      </c>
    </row>
    <row r="5" spans="1:14" x14ac:dyDescent="0.25">
      <c r="A5" s="71">
        <v>46146</v>
      </c>
      <c r="B5" s="72"/>
      <c r="C5" s="72"/>
      <c r="D5" s="72"/>
      <c r="E5" s="73">
        <v>350.15</v>
      </c>
      <c r="F5" s="73"/>
      <c r="G5" s="73"/>
      <c r="H5" s="73"/>
      <c r="I5" s="74">
        <f>(E5-E4)/E4</f>
        <v>0.1671666666666666</v>
      </c>
      <c r="J5" s="74"/>
      <c r="K5" s="74"/>
      <c r="L5" s="74"/>
    </row>
    <row r="6" spans="1:14" x14ac:dyDescent="0.25">
      <c r="A6" s="71">
        <v>46147</v>
      </c>
      <c r="B6" s="72"/>
      <c r="C6" s="72"/>
      <c r="D6" s="72"/>
      <c r="E6" s="73">
        <v>650.5</v>
      </c>
      <c r="F6" s="73"/>
      <c r="G6" s="73"/>
      <c r="H6" s="73"/>
      <c r="I6" s="74">
        <f>(E6-E5)/E5</f>
        <v>0.85777523918320731</v>
      </c>
      <c r="J6" s="74"/>
      <c r="K6" s="74"/>
      <c r="L6" s="74"/>
      <c r="N6" s="11" t="s">
        <v>23</v>
      </c>
    </row>
    <row r="7" spans="1:14" x14ac:dyDescent="0.25">
      <c r="A7" s="71">
        <v>46148</v>
      </c>
      <c r="B7" s="72"/>
      <c r="C7" s="72"/>
      <c r="D7" s="72"/>
      <c r="E7" s="73">
        <v>600.35</v>
      </c>
      <c r="F7" s="73"/>
      <c r="G7" s="73"/>
      <c r="H7" s="73"/>
      <c r="I7" s="74">
        <f t="shared" ref="I7:I10" si="0">(E7-E6)/E6</f>
        <v>-7.7094542659492657E-2</v>
      </c>
      <c r="J7" s="74"/>
      <c r="K7" s="74"/>
      <c r="L7" s="74"/>
      <c r="N7" s="12" t="str">
        <f>IF(N4&gt;0,"Positive","Negative")</f>
        <v>Negative</v>
      </c>
    </row>
    <row r="8" spans="1:14" x14ac:dyDescent="0.25">
      <c r="A8" s="71">
        <v>46149</v>
      </c>
      <c r="B8" s="72"/>
      <c r="C8" s="72"/>
      <c r="D8" s="72"/>
      <c r="E8" s="73">
        <v>150.19999999999999</v>
      </c>
      <c r="F8" s="73"/>
      <c r="G8" s="73"/>
      <c r="H8" s="73"/>
      <c r="I8" s="74">
        <f t="shared" si="0"/>
        <v>-0.74981260931123517</v>
      </c>
      <c r="J8" s="74"/>
      <c r="K8" s="74"/>
      <c r="L8" s="74"/>
    </row>
    <row r="9" spans="1:14" x14ac:dyDescent="0.25">
      <c r="A9" s="71">
        <v>46150</v>
      </c>
      <c r="B9" s="72"/>
      <c r="C9" s="72"/>
      <c r="D9" s="72"/>
      <c r="E9" s="73">
        <v>55.5</v>
      </c>
      <c r="F9" s="73"/>
      <c r="G9" s="73"/>
      <c r="H9" s="73"/>
      <c r="I9" s="74">
        <f t="shared" si="0"/>
        <v>-0.6304926764314247</v>
      </c>
      <c r="J9" s="74"/>
      <c r="K9" s="74"/>
      <c r="L9" s="74"/>
    </row>
    <row r="10" spans="1:14" x14ac:dyDescent="0.25">
      <c r="A10" s="71">
        <v>46151</v>
      </c>
      <c r="B10" s="72"/>
      <c r="C10" s="72"/>
      <c r="D10" s="72"/>
      <c r="E10" s="73">
        <v>80.5</v>
      </c>
      <c r="F10" s="73"/>
      <c r="G10" s="73"/>
      <c r="H10" s="73"/>
      <c r="I10" s="74">
        <f t="shared" si="0"/>
        <v>0.45045045045045046</v>
      </c>
      <c r="J10" s="74"/>
      <c r="K10" s="74"/>
      <c r="L10" s="74"/>
    </row>
    <row r="11" spans="1:14" x14ac:dyDescent="0.25">
      <c r="A11" s="71">
        <v>46152</v>
      </c>
      <c r="B11" s="72"/>
      <c r="C11" s="72"/>
      <c r="D11" s="72"/>
      <c r="E11" s="73">
        <v>10.5</v>
      </c>
      <c r="F11" s="73"/>
      <c r="G11" s="73"/>
      <c r="H11" s="73"/>
      <c r="I11" s="74">
        <f t="shared" ref="I11" si="1">(E11-E10)/E10</f>
        <v>-0.86956521739130432</v>
      </c>
      <c r="J11" s="74"/>
      <c r="K11" s="74"/>
      <c r="L11" s="74"/>
    </row>
  </sheetData>
  <mergeCells count="31">
    <mergeCell ref="I10:L10"/>
    <mergeCell ref="A1:L1"/>
    <mergeCell ref="A11:D11"/>
    <mergeCell ref="E11:H11"/>
    <mergeCell ref="I11:L11"/>
    <mergeCell ref="E10:H10"/>
    <mergeCell ref="I2:L2"/>
    <mergeCell ref="I3:L3"/>
    <mergeCell ref="I4:L4"/>
    <mergeCell ref="I5:L5"/>
    <mergeCell ref="I6:L6"/>
    <mergeCell ref="I7:L7"/>
    <mergeCell ref="I8:L8"/>
    <mergeCell ref="I9:L9"/>
    <mergeCell ref="A8:D8"/>
    <mergeCell ref="A9:D9"/>
    <mergeCell ref="A10:D10"/>
    <mergeCell ref="E3:H3"/>
    <mergeCell ref="E4:H4"/>
    <mergeCell ref="E5:H5"/>
    <mergeCell ref="E6:H6"/>
    <mergeCell ref="E7:H7"/>
    <mergeCell ref="E8:H8"/>
    <mergeCell ref="E9:H9"/>
    <mergeCell ref="A6:D6"/>
    <mergeCell ref="A7:D7"/>
    <mergeCell ref="A2:D2"/>
    <mergeCell ref="E2:H2"/>
    <mergeCell ref="A3:D3"/>
    <mergeCell ref="A4:D4"/>
    <mergeCell ref="A5:D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81B24-AD91-4661-91C0-87FEDD27A3C2}">
  <dimension ref="B2:I17"/>
  <sheetViews>
    <sheetView showGridLines="0" workbookViewId="0">
      <selection activeCell="I3" sqref="I3"/>
    </sheetView>
  </sheetViews>
  <sheetFormatPr defaultRowHeight="15" x14ac:dyDescent="0.25"/>
  <cols>
    <col min="2" max="2" width="13.42578125" customWidth="1"/>
    <col min="3" max="3" width="30.85546875" bestFit="1" customWidth="1"/>
    <col min="5" max="5" width="15.28515625" bestFit="1" customWidth="1"/>
    <col min="6" max="6" width="13.7109375" bestFit="1" customWidth="1"/>
  </cols>
  <sheetData>
    <row r="2" spans="2:9" x14ac:dyDescent="0.25">
      <c r="B2" s="13" t="s">
        <v>20</v>
      </c>
      <c r="C2" s="13" t="s">
        <v>24</v>
      </c>
      <c r="D2" s="18"/>
      <c r="E2" s="13" t="s">
        <v>25</v>
      </c>
      <c r="F2" s="16" t="s">
        <v>26</v>
      </c>
      <c r="G2" s="16" t="s">
        <v>27</v>
      </c>
      <c r="H2" s="16" t="s">
        <v>28</v>
      </c>
      <c r="I2" s="16" t="s">
        <v>29</v>
      </c>
    </row>
    <row r="3" spans="2:9" x14ac:dyDescent="0.25">
      <c r="B3" s="14">
        <v>46144</v>
      </c>
      <c r="C3" s="15">
        <v>1000000</v>
      </c>
      <c r="D3" s="17"/>
      <c r="E3" s="20">
        <f>SUM(C3:C17)</f>
        <v>1653820000</v>
      </c>
      <c r="F3" s="20">
        <f>MAX(C3:C17)</f>
        <v>800000000</v>
      </c>
      <c r="G3" s="20">
        <f>MIN(C3:C17)</f>
        <v>10000</v>
      </c>
      <c r="H3" s="19">
        <f>COUNT(C3:C17)</f>
        <v>15</v>
      </c>
      <c r="I3" s="19">
        <f>COUNTIF(C3:C17,"&gt;1000000")</f>
        <v>8</v>
      </c>
    </row>
    <row r="4" spans="2:9" x14ac:dyDescent="0.25">
      <c r="B4" s="14">
        <v>46145</v>
      </c>
      <c r="C4" s="15">
        <v>2000000</v>
      </c>
      <c r="D4" s="17"/>
      <c r="F4" s="17"/>
      <c r="G4" s="17"/>
      <c r="H4" s="17"/>
      <c r="I4" s="17"/>
    </row>
    <row r="5" spans="2:9" x14ac:dyDescent="0.25">
      <c r="B5" s="14">
        <v>46146</v>
      </c>
      <c r="C5" s="15">
        <v>3000000</v>
      </c>
      <c r="D5" s="17"/>
      <c r="E5" s="17"/>
      <c r="F5" s="17"/>
      <c r="G5" s="17"/>
      <c r="H5" s="17"/>
      <c r="I5" s="17"/>
    </row>
    <row r="6" spans="2:9" x14ac:dyDescent="0.25">
      <c r="B6" s="14">
        <v>46147</v>
      </c>
      <c r="C6" s="15">
        <v>10000</v>
      </c>
      <c r="D6" s="17"/>
      <c r="E6" s="17"/>
      <c r="F6" s="17"/>
      <c r="G6" s="17"/>
      <c r="H6" s="17"/>
      <c r="I6" s="17"/>
    </row>
    <row r="7" spans="2:9" x14ac:dyDescent="0.25">
      <c r="B7" s="14">
        <v>46148</v>
      </c>
      <c r="C7" s="15">
        <v>100000</v>
      </c>
      <c r="D7" s="17"/>
      <c r="E7" s="17"/>
      <c r="F7" s="17"/>
      <c r="G7" s="17"/>
      <c r="H7" s="17"/>
      <c r="I7" s="17"/>
    </row>
    <row r="8" spans="2:9" x14ac:dyDescent="0.25">
      <c r="B8" s="14">
        <v>46149</v>
      </c>
      <c r="C8" s="15">
        <v>500000</v>
      </c>
      <c r="D8" s="17"/>
      <c r="E8" s="17"/>
      <c r="F8" s="17"/>
      <c r="G8" s="17"/>
      <c r="H8" s="17"/>
      <c r="I8" s="17"/>
    </row>
    <row r="9" spans="2:9" x14ac:dyDescent="0.25">
      <c r="B9" s="14">
        <v>46150</v>
      </c>
      <c r="C9" s="15">
        <v>6000000</v>
      </c>
      <c r="D9" s="17"/>
      <c r="E9" s="17"/>
      <c r="F9" s="17"/>
      <c r="G9" s="17"/>
      <c r="H9" s="17"/>
      <c r="I9" s="17"/>
    </row>
    <row r="10" spans="2:9" x14ac:dyDescent="0.25">
      <c r="B10" s="14">
        <v>46151</v>
      </c>
      <c r="C10" s="15">
        <v>100000000</v>
      </c>
      <c r="D10" s="17"/>
      <c r="E10" s="17"/>
      <c r="F10" s="17"/>
      <c r="G10" s="17"/>
      <c r="H10" s="17"/>
      <c r="I10" s="17"/>
    </row>
    <row r="11" spans="2:9" x14ac:dyDescent="0.25">
      <c r="B11" s="14">
        <v>46152</v>
      </c>
      <c r="C11" s="15">
        <v>700000000</v>
      </c>
      <c r="D11" s="17"/>
      <c r="E11" s="17"/>
      <c r="F11" s="17"/>
      <c r="G11" s="17"/>
      <c r="H11" s="17"/>
      <c r="I11" s="17"/>
    </row>
    <row r="12" spans="2:9" x14ac:dyDescent="0.25">
      <c r="B12" s="14">
        <v>46153</v>
      </c>
      <c r="C12" s="15">
        <v>800000000</v>
      </c>
      <c r="D12" s="17"/>
      <c r="E12" s="17"/>
      <c r="F12" s="17"/>
      <c r="G12" s="17"/>
      <c r="H12" s="17"/>
      <c r="I12" s="17"/>
    </row>
    <row r="13" spans="2:9" x14ac:dyDescent="0.25">
      <c r="B13" s="14">
        <v>46154</v>
      </c>
      <c r="C13" s="15">
        <v>10000</v>
      </c>
      <c r="D13" s="17"/>
      <c r="E13" s="17"/>
      <c r="F13" s="17"/>
      <c r="G13" s="17"/>
      <c r="H13" s="17"/>
      <c r="I13" s="17"/>
    </row>
    <row r="14" spans="2:9" x14ac:dyDescent="0.25">
      <c r="B14" s="14">
        <v>46155</v>
      </c>
      <c r="C14" s="15">
        <v>300000</v>
      </c>
      <c r="D14" s="17"/>
      <c r="E14" s="17"/>
      <c r="F14" s="17"/>
      <c r="G14" s="17"/>
      <c r="H14" s="17"/>
      <c r="I14" s="17"/>
    </row>
    <row r="15" spans="2:9" x14ac:dyDescent="0.25">
      <c r="B15" s="14">
        <v>46156</v>
      </c>
      <c r="C15" s="15">
        <v>15000000</v>
      </c>
      <c r="D15" s="17"/>
      <c r="E15" s="17"/>
      <c r="F15" s="17"/>
      <c r="G15" s="17"/>
      <c r="H15" s="17"/>
      <c r="I15" s="17"/>
    </row>
    <row r="16" spans="2:9" x14ac:dyDescent="0.25">
      <c r="B16" s="14">
        <v>46157</v>
      </c>
      <c r="C16" s="15">
        <v>25000000</v>
      </c>
      <c r="D16" s="17"/>
      <c r="E16" s="17"/>
      <c r="F16" s="17"/>
      <c r="G16" s="17"/>
      <c r="H16" s="17"/>
      <c r="I16" s="17"/>
    </row>
    <row r="17" spans="2:9" x14ac:dyDescent="0.25">
      <c r="B17" s="14">
        <v>46158</v>
      </c>
      <c r="C17" s="15">
        <v>900000</v>
      </c>
      <c r="D17" s="17"/>
      <c r="E17" s="17"/>
      <c r="F17" s="17"/>
      <c r="G17" s="17"/>
      <c r="H17" s="17"/>
      <c r="I17" s="1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4A967B-77A0-46E6-9D75-84A934B0FAA8}">
  <dimension ref="A1:G8"/>
  <sheetViews>
    <sheetView showGridLines="0" zoomScale="175" zoomScaleNormal="175" workbookViewId="0">
      <selection activeCell="E3" sqref="E3"/>
    </sheetView>
  </sheetViews>
  <sheetFormatPr defaultRowHeight="15" x14ac:dyDescent="0.25"/>
  <cols>
    <col min="5" max="5" width="11" customWidth="1"/>
    <col min="6" max="6" width="10.7109375" bestFit="1" customWidth="1"/>
    <col min="7" max="7" width="19.28515625" bestFit="1" customWidth="1"/>
  </cols>
  <sheetData>
    <row r="1" spans="1:7" x14ac:dyDescent="0.25">
      <c r="A1" s="76" t="s">
        <v>30</v>
      </c>
      <c r="B1" s="76" t="s">
        <v>31</v>
      </c>
      <c r="C1" s="77" t="s">
        <v>32</v>
      </c>
      <c r="D1" s="77"/>
      <c r="E1" s="77" t="s">
        <v>35</v>
      </c>
      <c r="F1" s="77"/>
      <c r="G1" s="76" t="s">
        <v>36</v>
      </c>
    </row>
    <row r="2" spans="1:7" x14ac:dyDescent="0.25">
      <c r="A2" s="76"/>
      <c r="B2" s="76"/>
      <c r="C2" s="21" t="s">
        <v>33</v>
      </c>
      <c r="D2" s="21" t="s">
        <v>34</v>
      </c>
      <c r="E2" s="21" t="s">
        <v>33</v>
      </c>
      <c r="F2" s="21" t="s">
        <v>34</v>
      </c>
      <c r="G2" s="76"/>
    </row>
    <row r="3" spans="1:7" x14ac:dyDescent="0.25">
      <c r="A3" s="23" t="s">
        <v>37</v>
      </c>
      <c r="B3" s="24">
        <f ca="1">RANDBETWEEN(10, 50)</f>
        <v>15</v>
      </c>
      <c r="C3" s="30">
        <f ca="1">RANDBETWEEN(2, 10)</f>
        <v>5</v>
      </c>
      <c r="D3" s="22">
        <f ca="1">RANDBETWEEN(2, 10)</f>
        <v>8</v>
      </c>
      <c r="E3" s="29">
        <f ca="1">$B3*C3</f>
        <v>75</v>
      </c>
      <c r="F3" s="35">
        <f ca="1">$B3*D3</f>
        <v>120</v>
      </c>
      <c r="G3" s="38">
        <f ca="1">(E3+F3)/(E$8+F$8)</f>
        <v>9.6106456382454408E-2</v>
      </c>
    </row>
    <row r="4" spans="1:7" x14ac:dyDescent="0.25">
      <c r="A4" s="23" t="s">
        <v>38</v>
      </c>
      <c r="B4" s="24">
        <f t="shared" ref="B4:B7" ca="1" si="0">RANDBETWEEN(10, 50)</f>
        <v>40</v>
      </c>
      <c r="C4" s="31">
        <f t="shared" ref="C4:D7" ca="1" si="1">RANDBETWEEN(2, 10)</f>
        <v>7</v>
      </c>
      <c r="D4" s="25">
        <f t="shared" ca="1" si="1"/>
        <v>3</v>
      </c>
      <c r="E4" s="29">
        <f t="shared" ref="E4:F7" ca="1" si="2">$B4*C4</f>
        <v>280</v>
      </c>
      <c r="F4" s="36">
        <f t="shared" ca="1" si="2"/>
        <v>120</v>
      </c>
      <c r="G4" s="38">
        <f ca="1">(E4+F4)/(E$8+F$8)</f>
        <v>0.19714144898965008</v>
      </c>
    </row>
    <row r="5" spans="1:7" x14ac:dyDescent="0.25">
      <c r="A5" s="23" t="s">
        <v>39</v>
      </c>
      <c r="B5" s="24">
        <f t="shared" ca="1" si="0"/>
        <v>49</v>
      </c>
      <c r="C5" s="31">
        <f t="shared" ca="1" si="1"/>
        <v>5</v>
      </c>
      <c r="D5" s="28">
        <f t="shared" ca="1" si="1"/>
        <v>10</v>
      </c>
      <c r="E5" s="29">
        <f t="shared" ca="1" si="2"/>
        <v>245</v>
      </c>
      <c r="F5" s="35">
        <f t="shared" ca="1" si="2"/>
        <v>490</v>
      </c>
      <c r="G5" s="38">
        <f t="shared" ref="G5:G7" ca="1" si="3">(E5+F5)/(E$8+F$8)</f>
        <v>0.36224741251848203</v>
      </c>
    </row>
    <row r="6" spans="1:7" x14ac:dyDescent="0.25">
      <c r="A6" s="23" t="s">
        <v>40</v>
      </c>
      <c r="B6" s="24">
        <f t="shared" ca="1" si="0"/>
        <v>37</v>
      </c>
      <c r="C6" s="26">
        <f t="shared" ca="1" si="1"/>
        <v>9</v>
      </c>
      <c r="D6" s="25">
        <f t="shared" ca="1" si="1"/>
        <v>3</v>
      </c>
      <c r="E6" s="29">
        <f t="shared" ca="1" si="2"/>
        <v>333</v>
      </c>
      <c r="F6" s="35">
        <f t="shared" ca="1" si="2"/>
        <v>111</v>
      </c>
      <c r="G6" s="38">
        <f t="shared" ca="1" si="3"/>
        <v>0.21882700837851157</v>
      </c>
    </row>
    <row r="7" spans="1:7" x14ac:dyDescent="0.25">
      <c r="A7" s="23" t="s">
        <v>41</v>
      </c>
      <c r="B7" s="33">
        <f t="shared" ca="1" si="0"/>
        <v>17</v>
      </c>
      <c r="C7" s="32">
        <f t="shared" ca="1" si="1"/>
        <v>7</v>
      </c>
      <c r="D7" s="27">
        <f t="shared" ca="1" si="1"/>
        <v>8</v>
      </c>
      <c r="E7" s="29">
        <f t="shared" ca="1" si="2"/>
        <v>119</v>
      </c>
      <c r="F7" s="35">
        <f t="shared" ca="1" si="2"/>
        <v>136</v>
      </c>
      <c r="G7" s="38">
        <f t="shared" ca="1" si="3"/>
        <v>0.12567767373090191</v>
      </c>
    </row>
    <row r="8" spans="1:7" x14ac:dyDescent="0.25">
      <c r="A8" s="23" t="s">
        <v>42</v>
      </c>
      <c r="B8" s="34"/>
      <c r="C8" s="34"/>
      <c r="D8" s="34"/>
      <c r="E8" s="37">
        <f ca="1">SUM(E3:E7)</f>
        <v>1052</v>
      </c>
      <c r="F8" s="37">
        <f ca="1">SUM(F3:F7)</f>
        <v>977</v>
      </c>
      <c r="G8" s="34"/>
    </row>
  </sheetData>
  <mergeCells count="5">
    <mergeCell ref="A1:A2"/>
    <mergeCell ref="B1:B2"/>
    <mergeCell ref="C1:D1"/>
    <mergeCell ref="E1:F1"/>
    <mergeCell ref="G1:G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53DF0-38D4-4363-880C-1DE1AFCD6401}">
  <dimension ref="A1:G14"/>
  <sheetViews>
    <sheetView showGridLines="0" workbookViewId="0">
      <selection activeCell="G9" sqref="G9"/>
    </sheetView>
  </sheetViews>
  <sheetFormatPr defaultRowHeight="15" x14ac:dyDescent="0.25"/>
  <cols>
    <col min="1" max="1" width="11" customWidth="1"/>
    <col min="2" max="2" width="11.5703125" customWidth="1"/>
    <col min="3" max="3" width="11.7109375" customWidth="1"/>
    <col min="6" max="6" width="16.42578125" customWidth="1"/>
    <col min="7" max="7" width="17.7109375" customWidth="1"/>
  </cols>
  <sheetData>
    <row r="1" spans="1:7" x14ac:dyDescent="0.25">
      <c r="A1" s="39" t="s">
        <v>43</v>
      </c>
      <c r="B1" s="39" t="s">
        <v>44</v>
      </c>
      <c r="C1" s="39" t="s">
        <v>45</v>
      </c>
      <c r="F1" s="78" t="s">
        <v>45</v>
      </c>
      <c r="G1" s="78"/>
    </row>
    <row r="2" spans="1:7" x14ac:dyDescent="0.25">
      <c r="A2" s="51" t="s">
        <v>46</v>
      </c>
      <c r="B2" s="47" t="s">
        <v>50</v>
      </c>
      <c r="C2" s="41">
        <f ca="1">RANDBETWEEN(500, 1000)</f>
        <v>565</v>
      </c>
      <c r="F2" s="45" t="s">
        <v>48</v>
      </c>
      <c r="G2" s="46">
        <f ca="1">SUMIF($A$2:$A$9, F2, $C$2:$C$9)</f>
        <v>1061</v>
      </c>
    </row>
    <row r="3" spans="1:7" x14ac:dyDescent="0.25">
      <c r="A3" s="53" t="s">
        <v>46</v>
      </c>
      <c r="B3" s="49" t="s">
        <v>51</v>
      </c>
      <c r="C3" s="44">
        <f t="shared" ref="C3:C9" ca="1" si="0">RANDBETWEEN(500, 1000)</f>
        <v>961</v>
      </c>
      <c r="F3" s="34" t="s">
        <v>50</v>
      </c>
      <c r="G3" s="34">
        <f ca="1">SUMIFS($C$2:$C$9, $A$2:$A$9, F2, $B$2:$B$9, F3)</f>
        <v>513</v>
      </c>
    </row>
    <row r="4" spans="1:7" x14ac:dyDescent="0.25">
      <c r="A4" s="52" t="s">
        <v>47</v>
      </c>
      <c r="B4" s="48" t="s">
        <v>50</v>
      </c>
      <c r="C4" s="44">
        <f t="shared" ca="1" si="0"/>
        <v>630</v>
      </c>
      <c r="F4" s="34" t="s">
        <v>51</v>
      </c>
      <c r="G4" s="34">
        <f ca="1">SUMIFS($C$2:$C$9, $A$2:$A$9, F2, $B$2:$B$9, F4)</f>
        <v>548</v>
      </c>
    </row>
    <row r="5" spans="1:7" x14ac:dyDescent="0.25">
      <c r="A5" s="53" t="s">
        <v>47</v>
      </c>
      <c r="B5" s="49" t="s">
        <v>51</v>
      </c>
      <c r="C5" s="44">
        <f t="shared" ca="1" si="0"/>
        <v>694</v>
      </c>
      <c r="F5" s="45" t="s">
        <v>46</v>
      </c>
      <c r="G5" s="46">
        <f ca="1">SUMIF($A$2:$A$9, F5, $C$2:$C$9)</f>
        <v>1526</v>
      </c>
    </row>
    <row r="6" spans="1:7" x14ac:dyDescent="0.25">
      <c r="A6" s="52" t="s">
        <v>48</v>
      </c>
      <c r="B6" s="48" t="s">
        <v>50</v>
      </c>
      <c r="C6" s="44">
        <f t="shared" ca="1" si="0"/>
        <v>513</v>
      </c>
      <c r="F6" s="34" t="s">
        <v>50</v>
      </c>
      <c r="G6" s="34">
        <f ca="1">SUMIFS($C$2:$C$9, $A$2:$A$9, F5, $B$2:$B$9, F6)</f>
        <v>565</v>
      </c>
    </row>
    <row r="7" spans="1:7" x14ac:dyDescent="0.25">
      <c r="A7" s="53" t="s">
        <v>48</v>
      </c>
      <c r="B7" s="49" t="s">
        <v>51</v>
      </c>
      <c r="C7" s="44">
        <f t="shared" ca="1" si="0"/>
        <v>548</v>
      </c>
      <c r="F7" s="34" t="s">
        <v>51</v>
      </c>
      <c r="G7" s="34">
        <f ca="1">SUMIFS($C$2:$C$9, $A$2:$A$9, F5, $B$2:$B$9, F7)</f>
        <v>961</v>
      </c>
    </row>
    <row r="8" spans="1:7" x14ac:dyDescent="0.25">
      <c r="A8" s="52" t="s">
        <v>49</v>
      </c>
      <c r="B8" s="48" t="s">
        <v>50</v>
      </c>
      <c r="C8" s="44">
        <f t="shared" ca="1" si="0"/>
        <v>926</v>
      </c>
      <c r="F8" s="45" t="s">
        <v>47</v>
      </c>
      <c r="G8" s="46">
        <f ca="1">SUMIF($A$2:$A$9, F8, $C$2:$C$9)</f>
        <v>1324</v>
      </c>
    </row>
    <row r="9" spans="1:7" x14ac:dyDescent="0.25">
      <c r="A9" s="54" t="s">
        <v>49</v>
      </c>
      <c r="B9" s="50" t="s">
        <v>51</v>
      </c>
      <c r="C9" s="42">
        <f t="shared" ca="1" si="0"/>
        <v>613</v>
      </c>
      <c r="F9" s="34" t="s">
        <v>50</v>
      </c>
      <c r="G9" s="34">
        <f ca="1">SUMIFS($C$2:$C$9, $A$2:$A$9, F8, $B$2:$B$9, F9)</f>
        <v>630</v>
      </c>
    </row>
    <row r="10" spans="1:7" x14ac:dyDescent="0.25">
      <c r="F10" s="34" t="s">
        <v>51</v>
      </c>
      <c r="G10" s="34">
        <f ca="1">SUMIFS($C$2:$C$9, $A$2:$A$9, F8, $B$2:$B$9, F10)</f>
        <v>694</v>
      </c>
    </row>
    <row r="11" spans="1:7" x14ac:dyDescent="0.25">
      <c r="F11" s="45" t="s">
        <v>49</v>
      </c>
      <c r="G11" s="46">
        <f ca="1">SUMIF($A$2:$A$9, F11, $C$2:$C$9)</f>
        <v>1539</v>
      </c>
    </row>
    <row r="12" spans="1:7" x14ac:dyDescent="0.25">
      <c r="F12" s="34" t="s">
        <v>50</v>
      </c>
      <c r="G12" s="34">
        <f ca="1">SUMIFS($C$2:$C$9, $A$2:$A$9, F11, $B$2:$B$9, F12)</f>
        <v>926</v>
      </c>
    </row>
    <row r="13" spans="1:7" x14ac:dyDescent="0.25">
      <c r="F13" s="34" t="s">
        <v>51</v>
      </c>
      <c r="G13" s="34">
        <f ca="1">SUMIFS($C$2:$C$9, $A$2:$A$9, F11, $B$2:$B$9, F13)</f>
        <v>613</v>
      </c>
    </row>
    <row r="14" spans="1:7" x14ac:dyDescent="0.25">
      <c r="F14" s="40" t="s">
        <v>52</v>
      </c>
      <c r="G14" s="43">
        <f ca="1">SUM(G2,G5,G8,G11)</f>
        <v>5450</v>
      </c>
    </row>
  </sheetData>
  <mergeCells count="1">
    <mergeCell ref="F1:G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B70FF-96FA-4025-A517-8BDE3ECE5EBF}">
  <dimension ref="B1:F12"/>
  <sheetViews>
    <sheetView showGridLines="0" workbookViewId="0">
      <selection activeCell="E6" sqref="E6"/>
    </sheetView>
  </sheetViews>
  <sheetFormatPr defaultRowHeight="15" x14ac:dyDescent="0.25"/>
  <cols>
    <col min="2" max="2" width="14.85546875" style="55" customWidth="1"/>
    <col min="3" max="3" width="18.42578125" style="55" customWidth="1"/>
    <col min="4" max="4" width="18.7109375" style="55" customWidth="1"/>
    <col min="5" max="5" width="28.5703125" style="55" customWidth="1"/>
    <col min="6" max="6" width="21.85546875" style="55" customWidth="1"/>
  </cols>
  <sheetData>
    <row r="1" spans="2:6" ht="30" x14ac:dyDescent="0.25">
      <c r="B1" s="56" t="s">
        <v>53</v>
      </c>
      <c r="C1" s="57" t="s">
        <v>54</v>
      </c>
      <c r="D1" s="57" t="s">
        <v>55</v>
      </c>
      <c r="E1" s="58" t="s">
        <v>56</v>
      </c>
      <c r="F1" s="59" t="s">
        <v>57</v>
      </c>
    </row>
    <row r="2" spans="2:6" hidden="1" x14ac:dyDescent="0.25">
      <c r="B2" s="60" t="s">
        <v>63</v>
      </c>
      <c r="C2" s="60" t="s">
        <v>71</v>
      </c>
      <c r="D2" s="60" t="s">
        <v>67</v>
      </c>
      <c r="E2" s="61">
        <v>60000</v>
      </c>
      <c r="F2" s="62">
        <f>DATE(2026, 10, 5)</f>
        <v>46300</v>
      </c>
    </row>
    <row r="3" spans="2:6" hidden="1" x14ac:dyDescent="0.25">
      <c r="B3" s="60" t="s">
        <v>64</v>
      </c>
      <c r="C3" s="60" t="s">
        <v>72</v>
      </c>
      <c r="D3" s="60" t="s">
        <v>68</v>
      </c>
      <c r="E3" s="61">
        <v>50000</v>
      </c>
      <c r="F3" s="62">
        <f>DATE(2026, 4, 7)</f>
        <v>46119</v>
      </c>
    </row>
    <row r="4" spans="2:6" hidden="1" x14ac:dyDescent="0.25">
      <c r="B4" s="60" t="s">
        <v>61</v>
      </c>
      <c r="C4" s="60" t="s">
        <v>69</v>
      </c>
      <c r="D4" s="60" t="s">
        <v>67</v>
      </c>
      <c r="E4" s="61">
        <v>25000</v>
      </c>
      <c r="F4" s="62">
        <f>DATE(2026, 8, 7)</f>
        <v>46241</v>
      </c>
    </row>
    <row r="5" spans="2:6" hidden="1" x14ac:dyDescent="0.25">
      <c r="B5" s="60" t="s">
        <v>65</v>
      </c>
      <c r="C5" s="60" t="s">
        <v>73</v>
      </c>
      <c r="D5" s="60" t="s">
        <v>68</v>
      </c>
      <c r="E5" s="61">
        <v>15000</v>
      </c>
      <c r="F5" s="62">
        <f>DATE(2026, 5, 8)</f>
        <v>46150</v>
      </c>
    </row>
    <row r="6" spans="2:6" x14ac:dyDescent="0.25">
      <c r="B6" s="60" t="s">
        <v>62</v>
      </c>
      <c r="C6" s="60" t="s">
        <v>70</v>
      </c>
      <c r="D6" s="60" t="s">
        <v>66</v>
      </c>
      <c r="E6" s="61">
        <v>10000</v>
      </c>
      <c r="F6" s="62">
        <f>DATE(2026, 9, 7)</f>
        <v>46272</v>
      </c>
    </row>
    <row r="7" spans="2:6" hidden="1" x14ac:dyDescent="0.25">
      <c r="B7" s="60" t="s">
        <v>60</v>
      </c>
      <c r="C7" s="60" t="s">
        <v>68</v>
      </c>
      <c r="D7" s="60" t="s">
        <v>67</v>
      </c>
      <c r="E7" s="61">
        <v>7500</v>
      </c>
      <c r="F7" s="62">
        <f>DATE(2026, 5, 7)</f>
        <v>46149</v>
      </c>
    </row>
    <row r="8" spans="2:6" x14ac:dyDescent="0.25">
      <c r="B8" s="60" t="s">
        <v>58</v>
      </c>
      <c r="C8" s="60" t="s">
        <v>66</v>
      </c>
      <c r="D8" s="60" t="s">
        <v>66</v>
      </c>
      <c r="E8" s="61">
        <v>7000</v>
      </c>
      <c r="F8" s="62">
        <f>DATE(2026, 5, 7)</f>
        <v>46149</v>
      </c>
    </row>
    <row r="9" spans="2:6" hidden="1" x14ac:dyDescent="0.25">
      <c r="B9" s="63" t="s">
        <v>59</v>
      </c>
      <c r="C9" s="63" t="s">
        <v>67</v>
      </c>
      <c r="D9" s="63" t="s">
        <v>67</v>
      </c>
      <c r="E9" s="64">
        <v>6000</v>
      </c>
      <c r="F9" s="65">
        <f>DATE(2026, 6, 6)</f>
        <v>46179</v>
      </c>
    </row>
    <row r="12" spans="2:6" x14ac:dyDescent="0.25">
      <c r="C12" s="79" t="s">
        <v>74</v>
      </c>
      <c r="D12" s="79"/>
      <c r="E12" s="66">
        <f>SUM(JLoka_Investors[INVESTMENT AMOUNT (USD)])</f>
        <v>180500</v>
      </c>
    </row>
  </sheetData>
  <sortState xmlns:xlrd2="http://schemas.microsoft.com/office/spreadsheetml/2017/richdata2" ref="B2:F9">
    <sortCondition descending="1" ref="E2:E9"/>
  </sortState>
  <mergeCells count="1">
    <mergeCell ref="C12:D12"/>
  </mergeCells>
  <phoneticPr fontId="3" type="noConversion"/>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D3323-DAD4-4089-9A46-7712A3CF5F64}">
  <dimension ref="B2:F14"/>
  <sheetViews>
    <sheetView showGridLines="0" workbookViewId="0">
      <selection activeCell="D7" sqref="D7"/>
    </sheetView>
  </sheetViews>
  <sheetFormatPr defaultRowHeight="15" x14ac:dyDescent="0.25"/>
  <cols>
    <col min="2" max="2" width="9.5703125" bestFit="1" customWidth="1"/>
    <col min="3" max="5" width="12.7109375" bestFit="1" customWidth="1"/>
  </cols>
  <sheetData>
    <row r="2" spans="2:6" ht="18.75" x14ac:dyDescent="0.3">
      <c r="B2" s="80" t="s">
        <v>75</v>
      </c>
      <c r="C2" s="80"/>
      <c r="D2" s="80"/>
      <c r="E2" s="80"/>
      <c r="F2" s="67"/>
    </row>
    <row r="3" spans="2:6" s="67" customFormat="1" x14ac:dyDescent="0.25">
      <c r="B3" s="67" t="s">
        <v>76</v>
      </c>
      <c r="C3" s="67" t="s">
        <v>77</v>
      </c>
      <c r="D3" s="67" t="s">
        <v>78</v>
      </c>
      <c r="E3" s="67" t="s">
        <v>79</v>
      </c>
    </row>
    <row r="4" spans="2:6" x14ac:dyDescent="0.25">
      <c r="B4">
        <v>2011</v>
      </c>
      <c r="C4" s="3">
        <f ca="1">RAND()</f>
        <v>0.82725387354161772</v>
      </c>
      <c r="D4" s="3">
        <f t="shared" ref="D4:E4" ca="1" si="0">RAND()</f>
        <v>0.80017116372062791</v>
      </c>
      <c r="E4" s="3">
        <f t="shared" ca="1" si="0"/>
        <v>0.20801938180659352</v>
      </c>
    </row>
    <row r="5" spans="2:6" x14ac:dyDescent="0.25">
      <c r="B5">
        <v>2012</v>
      </c>
      <c r="C5" s="3">
        <f t="shared" ref="C5:E14" ca="1" si="1">RAND()</f>
        <v>0.98231634059209239</v>
      </c>
      <c r="D5" s="3">
        <f t="shared" ca="1" si="1"/>
        <v>0.59857569406591837</v>
      </c>
      <c r="E5" s="3">
        <f t="shared" ca="1" si="1"/>
        <v>5.8172409636129241E-2</v>
      </c>
    </row>
    <row r="6" spans="2:6" x14ac:dyDescent="0.25">
      <c r="B6">
        <v>2013</v>
      </c>
      <c r="C6" s="3">
        <f t="shared" ca="1" si="1"/>
        <v>0.92177328897518906</v>
      </c>
      <c r="D6" s="3">
        <f t="shared" ca="1" si="1"/>
        <v>0.62960068734179109</v>
      </c>
      <c r="E6" s="3">
        <f t="shared" ca="1" si="1"/>
        <v>0.47613209032723569</v>
      </c>
    </row>
    <row r="7" spans="2:6" x14ac:dyDescent="0.25">
      <c r="B7">
        <v>2014</v>
      </c>
      <c r="C7" s="3">
        <f t="shared" ca="1" si="1"/>
        <v>6.8127943760001086E-2</v>
      </c>
      <c r="D7" s="3">
        <f t="shared" ca="1" si="1"/>
        <v>0.91148131598852689</v>
      </c>
      <c r="E7" s="3">
        <f t="shared" ca="1" si="1"/>
        <v>0.33943465465660472</v>
      </c>
    </row>
    <row r="8" spans="2:6" x14ac:dyDescent="0.25">
      <c r="B8">
        <v>2015</v>
      </c>
      <c r="C8" s="3">
        <f t="shared" ca="1" si="1"/>
        <v>0.36546159306277792</v>
      </c>
      <c r="D8" s="3">
        <f t="shared" ca="1" si="1"/>
        <v>0.49768864602230933</v>
      </c>
      <c r="E8" s="3">
        <f t="shared" ca="1" si="1"/>
        <v>0.56689538950625051</v>
      </c>
    </row>
    <row r="9" spans="2:6" x14ac:dyDescent="0.25">
      <c r="B9">
        <v>2016</v>
      </c>
      <c r="C9" s="3">
        <f t="shared" ca="1" si="1"/>
        <v>7.0132702277079795E-2</v>
      </c>
      <c r="D9" s="3">
        <f t="shared" ca="1" si="1"/>
        <v>0.39161580424131404</v>
      </c>
      <c r="E9" s="3">
        <f t="shared" ca="1" si="1"/>
        <v>0.70946690247282718</v>
      </c>
    </row>
    <row r="10" spans="2:6" x14ac:dyDescent="0.25">
      <c r="B10">
        <v>2017</v>
      </c>
      <c r="C10" s="3">
        <f t="shared" ca="1" si="1"/>
        <v>0.29363415525332215</v>
      </c>
      <c r="D10" s="3">
        <f t="shared" ca="1" si="1"/>
        <v>3.4430219338273838E-2</v>
      </c>
      <c r="E10" s="3">
        <f t="shared" ca="1" si="1"/>
        <v>0.48517707387830089</v>
      </c>
    </row>
    <row r="11" spans="2:6" x14ac:dyDescent="0.25">
      <c r="B11">
        <v>2018</v>
      </c>
      <c r="C11" s="3">
        <f t="shared" ca="1" si="1"/>
        <v>0.57614710490615306</v>
      </c>
      <c r="D11" s="3">
        <f t="shared" ca="1" si="1"/>
        <v>0.88951744204066985</v>
      </c>
      <c r="E11" s="3">
        <f t="shared" ca="1" si="1"/>
        <v>0.34191490610491293</v>
      </c>
    </row>
    <row r="12" spans="2:6" x14ac:dyDescent="0.25">
      <c r="B12">
        <v>2019</v>
      </c>
      <c r="C12" s="3">
        <f t="shared" ca="1" si="1"/>
        <v>0.42653486070031332</v>
      </c>
      <c r="D12" s="3">
        <f t="shared" ca="1" si="1"/>
        <v>0.21054797943785342</v>
      </c>
      <c r="E12" s="3">
        <f t="shared" ca="1" si="1"/>
        <v>0.75340815882757395</v>
      </c>
    </row>
    <row r="13" spans="2:6" x14ac:dyDescent="0.25">
      <c r="B13">
        <v>2020</v>
      </c>
      <c r="C13" s="3">
        <f t="shared" ca="1" si="1"/>
        <v>0.27532486384594812</v>
      </c>
      <c r="D13" s="3">
        <f t="shared" ca="1" si="1"/>
        <v>0.29914873161213729</v>
      </c>
      <c r="E13" s="3">
        <f t="shared" ca="1" si="1"/>
        <v>0.73473476496323886</v>
      </c>
    </row>
    <row r="14" spans="2:6" x14ac:dyDescent="0.25">
      <c r="B14">
        <v>2021</v>
      </c>
      <c r="C14" s="3">
        <f t="shared" ca="1" si="1"/>
        <v>0.39228657162766789</v>
      </c>
      <c r="D14" s="3">
        <f t="shared" ca="1" si="1"/>
        <v>0.72402950173284431</v>
      </c>
      <c r="E14" s="3">
        <f t="shared" ca="1" si="1"/>
        <v>6.5175240099631937E-3</v>
      </c>
    </row>
  </sheetData>
  <mergeCells count="1">
    <mergeCell ref="B2:E2"/>
  </mergeCells>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21280-4213-4B53-9A0B-5F17D269CBD8}">
  <dimension ref="B2:C6"/>
  <sheetViews>
    <sheetView workbookViewId="0">
      <selection activeCell="M4" sqref="M4"/>
    </sheetView>
  </sheetViews>
  <sheetFormatPr defaultRowHeight="15" x14ac:dyDescent="0.25"/>
  <cols>
    <col min="2" max="2" width="18" customWidth="1"/>
    <col min="3" max="3" width="20.42578125" customWidth="1"/>
  </cols>
  <sheetData>
    <row r="2" spans="2:3" x14ac:dyDescent="0.25">
      <c r="B2" t="s">
        <v>80</v>
      </c>
      <c r="C2" t="s">
        <v>81</v>
      </c>
    </row>
    <row r="3" spans="2:3" x14ac:dyDescent="0.25">
      <c r="B3" t="s">
        <v>82</v>
      </c>
      <c r="C3" s="68">
        <v>0.60699999999999998</v>
      </c>
    </row>
    <row r="4" spans="2:3" x14ac:dyDescent="0.25">
      <c r="B4" t="s">
        <v>83</v>
      </c>
      <c r="C4" s="68">
        <v>0.29299999999999998</v>
      </c>
    </row>
    <row r="5" spans="2:3" x14ac:dyDescent="0.25">
      <c r="B5" t="s">
        <v>84</v>
      </c>
      <c r="C5" s="68">
        <v>6.5000000000000002E-2</v>
      </c>
    </row>
    <row r="6" spans="2:3" x14ac:dyDescent="0.25">
      <c r="B6" t="s">
        <v>85</v>
      </c>
      <c r="C6" s="68">
        <v>3.5000000000000003E-2</v>
      </c>
    </row>
  </sheetData>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9EEF3-DE7A-4CAA-BA1C-C8A88C9A4643}">
  <dimension ref="B2:G8"/>
  <sheetViews>
    <sheetView workbookViewId="0">
      <selection activeCell="E2" sqref="E2"/>
    </sheetView>
  </sheetViews>
  <sheetFormatPr defaultRowHeight="15" x14ac:dyDescent="0.25"/>
  <cols>
    <col min="2" max="4" width="17.140625" customWidth="1"/>
    <col min="5" max="5" width="22" customWidth="1"/>
    <col min="6" max="6" width="17.140625" customWidth="1"/>
    <col min="7" max="7" width="22" customWidth="1"/>
  </cols>
  <sheetData>
    <row r="2" spans="2:7" x14ac:dyDescent="0.25">
      <c r="B2" s="67" t="s">
        <v>86</v>
      </c>
      <c r="C2" s="67" t="s">
        <v>87</v>
      </c>
      <c r="D2" s="67" t="s">
        <v>88</v>
      </c>
      <c r="E2" s="67" t="s">
        <v>89</v>
      </c>
      <c r="F2" s="67" t="s">
        <v>90</v>
      </c>
      <c r="G2" s="67" t="s">
        <v>91</v>
      </c>
    </row>
    <row r="3" spans="2:7" x14ac:dyDescent="0.25">
      <c r="B3" s="67" t="s">
        <v>92</v>
      </c>
      <c r="C3" s="67">
        <v>720</v>
      </c>
      <c r="D3" s="69">
        <v>20000</v>
      </c>
      <c r="E3" s="67" t="s">
        <v>98</v>
      </c>
      <c r="F3" t="str">
        <f>IF(Table5[[#This Row],[Credit Score]]&gt;700, "Yes", "No")</f>
        <v>Yes</v>
      </c>
      <c r="G3" s="67" t="str">
        <f>IF(OR(Table5[[#This Row],[Good Credit?]]="Yes", Table5[[#This Row],[Employement Status]]="Full-Time"), "Approved", IF(AND(C3&gt;650, Table5[[#This Row],[Loan Amount]]&lt;12000), "Approved", "Denied"))</f>
        <v>Approved</v>
      </c>
    </row>
    <row r="4" spans="2:7" x14ac:dyDescent="0.25">
      <c r="B4" s="67" t="s">
        <v>93</v>
      </c>
      <c r="C4" s="67">
        <v>680</v>
      </c>
      <c r="D4" s="69">
        <v>15000</v>
      </c>
      <c r="E4" s="67" t="s">
        <v>99</v>
      </c>
      <c r="F4" t="str">
        <f>IF(Table5[[#This Row],[Credit Score]]&gt;700, "Yes", "No")</f>
        <v>No</v>
      </c>
      <c r="G4" s="67" t="str">
        <f>IF(OR(Table5[[#This Row],[Good Credit?]]="Yes", Table5[[#This Row],[Employement Status]]="Full-Time"), "Approved", IF(AND(C4&gt;650, Table5[[#This Row],[Loan Amount]]&lt;12000), "Approved", "Denied"))</f>
        <v>Denied</v>
      </c>
    </row>
    <row r="5" spans="2:7" x14ac:dyDescent="0.25">
      <c r="B5" s="67" t="s">
        <v>94</v>
      </c>
      <c r="C5" s="67">
        <v>750</v>
      </c>
      <c r="D5" s="69">
        <v>25000</v>
      </c>
      <c r="E5" s="67" t="s">
        <v>98</v>
      </c>
      <c r="F5" t="str">
        <f>IF(Table5[[#This Row],[Credit Score]]&gt;700, "Yes", "No")</f>
        <v>Yes</v>
      </c>
      <c r="G5" s="67" t="str">
        <f>IF(OR(Table5[[#This Row],[Good Credit?]]="Yes", Table5[[#This Row],[Employement Status]]="Full-Time"), "Approved", IF(AND(C5&gt;650, Table5[[#This Row],[Loan Amount]]&lt;12000), "Approved", "Denied"))</f>
        <v>Approved</v>
      </c>
    </row>
    <row r="6" spans="2:7" x14ac:dyDescent="0.25">
      <c r="B6" s="67" t="s">
        <v>95</v>
      </c>
      <c r="C6" s="67">
        <v>640</v>
      </c>
      <c r="D6" s="69">
        <v>10000</v>
      </c>
      <c r="E6" s="67" t="s">
        <v>100</v>
      </c>
      <c r="F6" t="str">
        <f>IF(Table5[[#This Row],[Credit Score]]&gt;700, "Yes", "No")</f>
        <v>No</v>
      </c>
      <c r="G6" s="67" t="str">
        <f>IF(OR(Table5[[#This Row],[Good Credit?]]="Yes", Table5[[#This Row],[Employement Status]]="Full-Time"), "Approved", IF(AND(C6&gt;650, Table5[[#This Row],[Loan Amount]]&lt;12000), "Approved", "Denied"))</f>
        <v>Denied</v>
      </c>
    </row>
    <row r="7" spans="2:7" x14ac:dyDescent="0.25">
      <c r="B7" s="67" t="s">
        <v>96</v>
      </c>
      <c r="C7" s="67">
        <v>660</v>
      </c>
      <c r="D7" s="69">
        <v>10000</v>
      </c>
      <c r="E7" s="67" t="s">
        <v>99</v>
      </c>
      <c r="F7" t="str">
        <f>IF(Table5[[#This Row],[Credit Score]]&gt;700, "Yes", "No")</f>
        <v>No</v>
      </c>
      <c r="G7" s="67" t="str">
        <f>IF(OR(Table5[[#This Row],[Good Credit?]]="Yes", Table5[[#This Row],[Employement Status]]="Full-Time"), "Approved", IF(AND(C7&gt;650, Table5[[#This Row],[Loan Amount]]&lt;12000), "Approved", "Denied"))</f>
        <v>Approved</v>
      </c>
    </row>
    <row r="8" spans="2:7" x14ac:dyDescent="0.25">
      <c r="B8" s="67" t="s">
        <v>97</v>
      </c>
      <c r="C8" s="67">
        <v>710</v>
      </c>
      <c r="D8" s="69">
        <v>18000</v>
      </c>
      <c r="E8" s="67" t="s">
        <v>99</v>
      </c>
      <c r="F8" t="str">
        <f>IF(Table5[[#This Row],[Credit Score]]&gt;700, "Yes", "No")</f>
        <v>Yes</v>
      </c>
      <c r="G8" s="67" t="str">
        <f>IF(OR(Table5[[#This Row],[Good Credit?]]="Yes", Table5[[#This Row],[Employement Status]]="Full-Time"), "Approved", IF(AND(C8&gt;650, Table5[[#This Row],[Loan Amount]]&lt;12000), "Approved", "Denied"))</f>
        <v>Approved</v>
      </c>
    </row>
  </sheetData>
  <phoneticPr fontId="3" type="noConversion"/>
  <conditionalFormatting sqref="C3:C8">
    <cfRule type="expression" dxfId="2" priority="3">
      <formula>$F3="Yes"</formula>
    </cfRule>
  </conditionalFormatting>
  <conditionalFormatting sqref="G3:G8">
    <cfRule type="cellIs" dxfId="1" priority="2" operator="equal">
      <formula>"Approved"</formula>
    </cfRule>
  </conditionalFormatting>
  <conditionalFormatting sqref="G4:G8">
    <cfRule type="cellIs" dxfId="0" priority="1" operator="equal">
      <formula>"Denied"</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7D486A-352E-4CA0-80E8-EAB3033E6718}">
  <dimension ref="B2:E12"/>
  <sheetViews>
    <sheetView tabSelected="1" workbookViewId="0">
      <selection activeCell="E5" sqref="E5"/>
    </sheetView>
  </sheetViews>
  <sheetFormatPr defaultRowHeight="15" x14ac:dyDescent="0.25"/>
  <cols>
    <col min="2" max="2" width="11" customWidth="1"/>
    <col min="3" max="3" width="13.7109375" customWidth="1"/>
    <col min="4" max="4" width="13.140625" customWidth="1"/>
    <col min="5" max="5" width="15" customWidth="1"/>
  </cols>
  <sheetData>
    <row r="2" spans="2:5" x14ac:dyDescent="0.25">
      <c r="B2" s="67" t="s">
        <v>101</v>
      </c>
      <c r="C2" s="67" t="s">
        <v>102</v>
      </c>
      <c r="D2" s="67" t="s">
        <v>103</v>
      </c>
      <c r="E2" s="67" t="s">
        <v>104</v>
      </c>
    </row>
    <row r="3" spans="2:5" x14ac:dyDescent="0.25">
      <c r="B3" t="s">
        <v>77</v>
      </c>
      <c r="C3" t="s">
        <v>112</v>
      </c>
      <c r="D3" s="2">
        <f ca="1">RANDBETWEEN(250, 3200)</f>
        <v>1122</v>
      </c>
      <c r="E3" s="81">
        <f ca="1">RANDBETWEEN(0, 2)</f>
        <v>2</v>
      </c>
    </row>
    <row r="4" spans="2:5" x14ac:dyDescent="0.25">
      <c r="B4" t="s">
        <v>78</v>
      </c>
      <c r="C4" t="s">
        <v>113</v>
      </c>
      <c r="D4" s="2">
        <f t="shared" ref="D4:D12" ca="1" si="0">RANDBETWEEN(250, 3200)</f>
        <v>1228</v>
      </c>
      <c r="E4" s="81">
        <f t="shared" ref="E3:E12" ca="1" si="1">RANDBETWEEN(0, 2)</f>
        <v>1</v>
      </c>
    </row>
    <row r="5" spans="2:5" x14ac:dyDescent="0.25">
      <c r="B5" t="s">
        <v>79</v>
      </c>
      <c r="C5" t="s">
        <v>114</v>
      </c>
      <c r="D5" s="2">
        <f t="shared" ca="1" si="0"/>
        <v>2326</v>
      </c>
      <c r="E5" s="81">
        <f t="shared" ca="1" si="1"/>
        <v>0</v>
      </c>
    </row>
    <row r="6" spans="2:5" x14ac:dyDescent="0.25">
      <c r="B6" t="s">
        <v>105</v>
      </c>
      <c r="C6" t="s">
        <v>115</v>
      </c>
      <c r="D6" s="2">
        <f t="shared" ca="1" si="0"/>
        <v>825</v>
      </c>
      <c r="E6" s="81">
        <f t="shared" ca="1" si="1"/>
        <v>0</v>
      </c>
    </row>
    <row r="7" spans="2:5" x14ac:dyDescent="0.25">
      <c r="B7" t="s">
        <v>106</v>
      </c>
      <c r="C7" t="s">
        <v>116</v>
      </c>
      <c r="D7" s="2">
        <f t="shared" ca="1" si="0"/>
        <v>1767</v>
      </c>
      <c r="E7" s="81">
        <f t="shared" ca="1" si="1"/>
        <v>0</v>
      </c>
    </row>
    <row r="8" spans="2:5" x14ac:dyDescent="0.25">
      <c r="B8" t="s">
        <v>107</v>
      </c>
      <c r="C8" t="s">
        <v>117</v>
      </c>
      <c r="D8" s="2">
        <f t="shared" ca="1" si="0"/>
        <v>2430</v>
      </c>
      <c r="E8" s="81">
        <f t="shared" ca="1" si="1"/>
        <v>2</v>
      </c>
    </row>
    <row r="9" spans="2:5" x14ac:dyDescent="0.25">
      <c r="B9" t="s">
        <v>108</v>
      </c>
      <c r="C9" t="s">
        <v>118</v>
      </c>
      <c r="D9" s="2">
        <f t="shared" ca="1" si="0"/>
        <v>2546</v>
      </c>
      <c r="E9" s="81">
        <f t="shared" ca="1" si="1"/>
        <v>1</v>
      </c>
    </row>
    <row r="10" spans="2:5" x14ac:dyDescent="0.25">
      <c r="B10" t="s">
        <v>109</v>
      </c>
      <c r="C10" t="s">
        <v>119</v>
      </c>
      <c r="D10" s="2">
        <f t="shared" ca="1" si="0"/>
        <v>2063</v>
      </c>
      <c r="E10" s="81">
        <f t="shared" ca="1" si="1"/>
        <v>0</v>
      </c>
    </row>
    <row r="11" spans="2:5" x14ac:dyDescent="0.25">
      <c r="B11" t="s">
        <v>110</v>
      </c>
      <c r="C11" t="s">
        <v>120</v>
      </c>
      <c r="D11" s="2">
        <f t="shared" ca="1" si="0"/>
        <v>2377</v>
      </c>
      <c r="E11" s="81">
        <f t="shared" ca="1" si="1"/>
        <v>2</v>
      </c>
    </row>
    <row r="12" spans="2:5" x14ac:dyDescent="0.25">
      <c r="B12" t="s">
        <v>111</v>
      </c>
      <c r="C12" t="s">
        <v>121</v>
      </c>
      <c r="D12" s="2">
        <f t="shared" ca="1" si="0"/>
        <v>1273</v>
      </c>
      <c r="E12" s="81">
        <f t="shared" ca="1" si="1"/>
        <v>2</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Sheet1</vt:lpstr>
      <vt:lpstr>Sheet2</vt:lpstr>
      <vt:lpstr>Sheet3</vt:lpstr>
      <vt:lpstr>Sheet4</vt:lpstr>
      <vt:lpstr>Sheet5</vt:lpstr>
      <vt:lpstr>Sheet6</vt:lpstr>
      <vt:lpstr>Sheet7</vt:lpstr>
      <vt:lpstr>Sheet8</vt:lpstr>
      <vt:lpstr>Sheet9</vt:lpstr>
      <vt:lpstr>Sheet10</vt:lpstr>
      <vt:lpstr>Sheet11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Jafar</dc:creator>
  <cp:lastModifiedBy>Jessie Corkery</cp:lastModifiedBy>
  <dcterms:created xsi:type="dcterms:W3CDTF">2015-06-05T18:17:20Z</dcterms:created>
  <dcterms:modified xsi:type="dcterms:W3CDTF">2026-05-22T00:42:30Z</dcterms:modified>
</cp:coreProperties>
</file>