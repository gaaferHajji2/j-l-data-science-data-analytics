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ooks-and-tutorials\Finance-Excel\"/>
    </mc:Choice>
  </mc:AlternateContent>
  <xr:revisionPtr revIDLastSave="0" documentId="13_ncr:1_{4068D8DE-841B-42E7-867C-CD60AC7B5A1A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7" l="1"/>
  <c r="F8" i="7"/>
  <c r="F7" i="7"/>
  <c r="F6" i="7"/>
  <c r="F4" i="7"/>
  <c r="F5" i="7"/>
  <c r="F3" i="7"/>
  <c r="F2" i="7"/>
  <c r="E3" i="7"/>
  <c r="E4" i="7"/>
  <c r="E5" i="7"/>
  <c r="E6" i="7"/>
  <c r="E7" i="7"/>
  <c r="E8" i="7"/>
  <c r="E9" i="7"/>
  <c r="E2" i="7"/>
  <c r="C3" i="6"/>
  <c r="G7" i="6" s="1"/>
  <c r="C4" i="6"/>
  <c r="G9" i="6" s="1"/>
  <c r="C5" i="6"/>
  <c r="G10" i="6" s="1"/>
  <c r="C6" i="6"/>
  <c r="G3" i="6" s="1"/>
  <c r="C7" i="6"/>
  <c r="G4" i="6" s="1"/>
  <c r="C8" i="6"/>
  <c r="G12" i="6" s="1"/>
  <c r="C9" i="6"/>
  <c r="G13" i="6" s="1"/>
  <c r="C2" i="6"/>
  <c r="G6" i="6" s="1"/>
  <c r="C4" i="5"/>
  <c r="D4" i="5"/>
  <c r="C5" i="5"/>
  <c r="D5" i="5"/>
  <c r="C6" i="5"/>
  <c r="D6" i="5"/>
  <c r="C7" i="5"/>
  <c r="D7" i="5"/>
  <c r="D3" i="5"/>
  <c r="C3" i="5"/>
  <c r="B4" i="5"/>
  <c r="B5" i="5"/>
  <c r="B6" i="5"/>
  <c r="E6" i="5" s="1"/>
  <c r="B7" i="5"/>
  <c r="B3" i="5"/>
  <c r="I3" i="4"/>
  <c r="H3" i="4"/>
  <c r="G3" i="4"/>
  <c r="F3" i="4"/>
  <c r="E3" i="4"/>
  <c r="N4" i="3"/>
  <c r="N7" i="3" s="1"/>
  <c r="I11" i="3"/>
  <c r="I6" i="3"/>
  <c r="I5" i="3"/>
  <c r="I7" i="3"/>
  <c r="I8" i="3"/>
  <c r="I9" i="3"/>
  <c r="I10" i="3"/>
  <c r="I4" i="3"/>
  <c r="G11" i="6" l="1"/>
  <c r="G5" i="6"/>
  <c r="G2" i="6"/>
  <c r="G8" i="6"/>
  <c r="E4" i="5"/>
  <c r="F7" i="5"/>
  <c r="F6" i="5"/>
  <c r="E5" i="5"/>
  <c r="F5" i="5"/>
  <c r="E7" i="5"/>
  <c r="F4" i="5"/>
  <c r="E3" i="5"/>
  <c r="F3" i="5"/>
  <c r="G14" i="6" l="1"/>
  <c r="F8" i="5"/>
  <c r="E8" i="5"/>
  <c r="G5" i="5" l="1"/>
  <c r="G7" i="5"/>
  <c r="G6" i="5"/>
  <c r="G3" i="5"/>
  <c r="G4" i="5"/>
</calcChain>
</file>

<file path=xl/sharedStrings.xml><?xml version="1.0" encoding="utf-8"?>
<sst xmlns="http://schemas.openxmlformats.org/spreadsheetml/2006/main" count="109" uniqueCount="74">
  <si>
    <t>Sunday</t>
  </si>
  <si>
    <t>Monday</t>
  </si>
  <si>
    <t>Tuesday</t>
  </si>
  <si>
    <t>Wednesday</t>
  </si>
  <si>
    <t>Thursday</t>
  </si>
  <si>
    <t>Friday</t>
  </si>
  <si>
    <t>Saturday</t>
  </si>
  <si>
    <t>ticker</t>
  </si>
  <si>
    <t>company name</t>
  </si>
  <si>
    <t>price</t>
  </si>
  <si>
    <t>annual return</t>
  </si>
  <si>
    <t>Jafar-Loka-01</t>
  </si>
  <si>
    <t>JLoka-01</t>
  </si>
  <si>
    <t>JLoka-02</t>
  </si>
  <si>
    <t>JLoka-03</t>
  </si>
  <si>
    <t>JLoka-04</t>
  </si>
  <si>
    <t>Jafar-Loka-02</t>
  </si>
  <si>
    <t>Jafar-Loka-03</t>
  </si>
  <si>
    <t>Jafar-Loka-04</t>
  </si>
  <si>
    <t>Jafar Loka's Stock Price History</t>
  </si>
  <si>
    <t>Date</t>
  </si>
  <si>
    <t>Adj Close</t>
  </si>
  <si>
    <t>Average Return</t>
  </si>
  <si>
    <t>Positive or Negative</t>
  </si>
  <si>
    <t>Volume Of Jafar Loka Shares Sold</t>
  </si>
  <si>
    <t>Sum</t>
  </si>
  <si>
    <t>Max</t>
  </si>
  <si>
    <t>Min</t>
  </si>
  <si>
    <t>Count</t>
  </si>
  <si>
    <t>CountIf</t>
  </si>
  <si>
    <t>ITEM</t>
  </si>
  <si>
    <t>PRICE</t>
  </si>
  <si>
    <t>Quantity</t>
  </si>
  <si>
    <t>Week 1</t>
  </si>
  <si>
    <t>Week 2</t>
  </si>
  <si>
    <t>REVENUE</t>
  </si>
  <si>
    <t>% of Revenue</t>
  </si>
  <si>
    <t>A</t>
  </si>
  <si>
    <t>B</t>
  </si>
  <si>
    <t>C</t>
  </si>
  <si>
    <t>D</t>
  </si>
  <si>
    <t>E</t>
  </si>
  <si>
    <t>TOTAL</t>
  </si>
  <si>
    <t>REGION</t>
  </si>
  <si>
    <t>PRODUCT</t>
  </si>
  <si>
    <t>SALES</t>
  </si>
  <si>
    <t>NORTH</t>
  </si>
  <si>
    <t>SOUTH</t>
  </si>
  <si>
    <t>EAST</t>
  </si>
  <si>
    <t>WEST</t>
  </si>
  <si>
    <t>PRODUCT A</t>
  </si>
  <si>
    <t>PRODUCT B</t>
  </si>
  <si>
    <t>Grand Total</t>
  </si>
  <si>
    <t>INVESTOR_ID</t>
  </si>
  <si>
    <t>INVESTOR_NAME</t>
  </si>
  <si>
    <t>COMPANY_NAME</t>
  </si>
  <si>
    <t>INVESTMENT AMOUNT (USD)</t>
  </si>
  <si>
    <t>INVESTMENT_DATE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</si>
  <si>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</si>
  <si>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</si>
  <si>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</si>
  <si>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</si>
  <si>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</si>
  <si>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</si>
  <si>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</si>
  <si>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</si>
  <si>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Jafar Loka-01</t>
  </si>
  <si>
    <t>Jafar Loka-02</t>
  </si>
  <si>
    <t>Jafar Loka-03</t>
  </si>
  <si>
    <t>Jafar Loka-04</t>
  </si>
  <si>
    <t>Jafar Loka-05</t>
  </si>
  <si>
    <t>Jafar Loka-06</t>
  </si>
  <si>
    <t>Jafar Loka-07</t>
  </si>
  <si>
    <t>Jafar Loka-08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</si>
</sst>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2" applyNumberFormat="1" applyFont="1"/>
    <xf numFmtId="0" fontId="0" fillId="3" borderId="1" xfId="0" applyFill="1" applyBorder="1"/>
    <xf numFmtId="44" fontId="0" fillId="3" borderId="1" xfId="1" applyFont="1" applyFill="1" applyBorder="1"/>
    <xf numFmtId="10" fontId="0" fillId="3" borderId="1" xfId="2" applyNumberFormat="1" applyFont="1" applyFill="1" applyBorder="1"/>
    <xf numFmtId="0" fontId="2" fillId="2" borderId="1" xfId="0" applyFont="1" applyFill="1" applyBorder="1"/>
    <xf numFmtId="44" fontId="2" fillId="2" borderId="1" xfId="1" applyFont="1" applyFill="1" applyBorder="1"/>
    <xf numFmtId="10" fontId="2" fillId="2" borderId="1" xfId="2" applyNumberFormat="1" applyFont="1" applyFill="1" applyBorder="1"/>
    <xf numFmtId="10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/>
    <xf numFmtId="0" fontId="4" fillId="6" borderId="1" xfId="0" applyFont="1" applyFill="1" applyBorder="1"/>
    <xf numFmtId="14" fontId="0" fillId="5" borderId="1" xfId="0" applyNumberFormat="1" applyFill="1" applyBorder="1"/>
    <xf numFmtId="164" fontId="0" fillId="5" borderId="1" xfId="1" applyNumberFormat="1" applyFont="1" applyFill="1" applyBorder="1"/>
    <xf numFmtId="0" fontId="4" fillId="6" borderId="2" xfId="0" applyFont="1" applyFill="1" applyBorder="1"/>
    <xf numFmtId="0" fontId="0" fillId="7" borderId="0" xfId="0" applyFill="1"/>
    <xf numFmtId="0" fontId="4" fillId="7" borderId="0" xfId="0" applyFont="1" applyFill="1"/>
    <xf numFmtId="0" fontId="0" fillId="8" borderId="1" xfId="0" applyFill="1" applyBorder="1"/>
    <xf numFmtId="164" fontId="0" fillId="8" borderId="1" xfId="0" applyNumberFormat="1" applyFill="1" applyBorder="1"/>
    <xf numFmtId="10" fontId="0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44" fontId="0" fillId="0" borderId="5" xfId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4" fontId="0" fillId="0" borderId="6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4" fontId="0" fillId="0" borderId="11" xfId="1" applyFont="1" applyBorder="1"/>
    <xf numFmtId="0" fontId="0" fillId="0" borderId="0" xfId="0" applyBorder="1"/>
    <xf numFmtId="0" fontId="0" fillId="0" borderId="15" xfId="0" applyBorder="1"/>
    <xf numFmtId="44" fontId="0" fillId="0" borderId="17" xfId="0" applyNumberFormat="1" applyBorder="1"/>
    <xf numFmtId="44" fontId="0" fillId="0" borderId="18" xfId="0" applyNumberFormat="1" applyBorder="1"/>
    <xf numFmtId="44" fontId="0" fillId="0" borderId="15" xfId="0" applyNumberFormat="1" applyBorder="1"/>
    <xf numFmtId="10" fontId="0" fillId="0" borderId="16" xfId="2" applyNumberFormat="1" applyFont="1" applyBorder="1" applyAlignment="1">
      <alignment horizontal="left" indent="9"/>
    </xf>
    <xf numFmtId="0" fontId="2" fillId="9" borderId="15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2" fillId="9" borderId="15" xfId="0" applyFont="1" applyFill="1" applyBorder="1" applyAlignment="1"/>
    <xf numFmtId="44" fontId="0" fillId="0" borderId="19" xfId="1" applyFont="1" applyBorder="1"/>
    <xf numFmtId="44" fontId="0" fillId="0" borderId="21" xfId="1" applyFont="1" applyBorder="1"/>
    <xf numFmtId="44" fontId="0" fillId="9" borderId="15" xfId="0" applyNumberFormat="1" applyFill="1" applyBorder="1" applyAlignment="1"/>
    <xf numFmtId="44" fontId="0" fillId="0" borderId="22" xfId="1" applyFont="1" applyBorder="1"/>
    <xf numFmtId="0" fontId="2" fillId="2" borderId="15" xfId="0" applyFont="1" applyFill="1" applyBorder="1"/>
    <xf numFmtId="44" fontId="2" fillId="2" borderId="15" xfId="1" applyFont="1" applyFill="1" applyBorder="1"/>
    <xf numFmtId="0" fontId="0" fillId="10" borderId="23" xfId="0" applyFill="1" applyBorder="1"/>
    <xf numFmtId="0" fontId="0" fillId="10" borderId="15" xfId="0" applyFill="1" applyBorder="1"/>
    <xf numFmtId="0" fontId="0" fillId="11" borderId="15" xfId="0" applyFill="1" applyBorder="1"/>
    <xf numFmtId="0" fontId="0" fillId="11" borderId="24" xfId="0" applyFill="1" applyBorder="1"/>
    <xf numFmtId="0" fontId="0" fillId="12" borderId="23" xfId="0" applyFill="1" applyBorder="1"/>
    <xf numFmtId="0" fontId="0" fillId="12" borderId="15" xfId="0" applyFill="1" applyBorder="1"/>
    <xf numFmtId="0" fontId="0" fillId="6" borderId="15" xfId="0" applyFill="1" applyBorder="1"/>
    <xf numFmtId="0" fontId="0" fillId="6" borderId="24" xfId="0" applyFill="1" applyBorder="1"/>
    <xf numFmtId="0" fontId="0" fillId="0" borderId="0" xfId="0" applyAlignment="1">
      <alignment vertical="top"/>
    </xf>
    <xf numFmtId="44" fontId="0" fillId="0" borderId="0" xfId="1" applyFont="1" applyAlignment="1">
      <alignment vertical="top"/>
    </xf>
    <xf numFmtId="14" fontId="0" fillId="0" borderId="0" xfId="0" applyNumberFormat="1" applyAlignment="1">
      <alignment vertical="top"/>
    </xf>
    <xf numFmtId="0" fontId="0" fillId="4" borderId="20" xfId="0" applyFill="1" applyBorder="1" applyAlignment="1">
      <alignment vertical="top"/>
    </xf>
    <xf numFmtId="0" fontId="0" fillId="4" borderId="25" xfId="0" applyFill="1" applyBorder="1" applyAlignment="1">
      <alignment vertical="top"/>
    </xf>
    <xf numFmtId="0" fontId="0" fillId="4" borderId="25" xfId="0" applyFill="1" applyBorder="1" applyAlignment="1">
      <alignment horizontal="center" vertical="top" wrapText="1"/>
    </xf>
    <xf numFmtId="0" fontId="0" fillId="4" borderId="25" xfId="0" applyFill="1" applyBorder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workbookViewId="0">
      <selection activeCell="D2" sqref="D2:D8"/>
    </sheetView>
  </sheetViews>
  <sheetFormatPr defaultRowHeight="15" x14ac:dyDescent="0.25"/>
  <cols>
    <col min="2" max="2" width="15.42578125" customWidth="1"/>
    <col min="3" max="3" width="12.140625" customWidth="1"/>
    <col min="4" max="4" width="15.7109375" customWidth="1"/>
  </cols>
  <sheetData>
    <row r="2" spans="2:4" x14ac:dyDescent="0.25">
      <c r="B2" t="s">
        <v>0</v>
      </c>
      <c r="C2">
        <v>1</v>
      </c>
      <c r="D2" s="1">
        <v>46144</v>
      </c>
    </row>
    <row r="3" spans="2:4" x14ac:dyDescent="0.25">
      <c r="B3" t="s">
        <v>1</v>
      </c>
      <c r="C3">
        <v>2</v>
      </c>
      <c r="D3" s="1">
        <v>46145</v>
      </c>
    </row>
    <row r="4" spans="2:4" x14ac:dyDescent="0.25">
      <c r="B4" t="s">
        <v>2</v>
      </c>
      <c r="C4">
        <v>3</v>
      </c>
      <c r="D4" s="1">
        <v>46146</v>
      </c>
    </row>
    <row r="5" spans="2:4" x14ac:dyDescent="0.25">
      <c r="B5" t="s">
        <v>3</v>
      </c>
      <c r="C5">
        <v>4</v>
      </c>
      <c r="D5" s="1">
        <v>46147</v>
      </c>
    </row>
    <row r="6" spans="2:4" x14ac:dyDescent="0.25">
      <c r="B6" t="s">
        <v>4</v>
      </c>
      <c r="C6">
        <v>5</v>
      </c>
      <c r="D6" s="1">
        <v>46148</v>
      </c>
    </row>
    <row r="7" spans="2:4" x14ac:dyDescent="0.25">
      <c r="B7" t="s">
        <v>5</v>
      </c>
      <c r="C7">
        <v>6</v>
      </c>
      <c r="D7" s="1">
        <v>46149</v>
      </c>
    </row>
    <row r="8" spans="2:4" x14ac:dyDescent="0.25">
      <c r="B8" t="s">
        <v>6</v>
      </c>
      <c r="C8">
        <v>7</v>
      </c>
      <c r="D8" s="1">
        <v>46150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03D7-B63C-4C14-ADB0-194A7F9BABAD}">
  <dimension ref="B2:E6"/>
  <sheetViews>
    <sheetView showGridLines="0" workbookViewId="0">
      <selection activeCell="D11" sqref="D11"/>
    </sheetView>
  </sheetViews>
  <sheetFormatPr defaultRowHeight="15" x14ac:dyDescent="0.25"/>
  <cols>
    <col min="2" max="2" width="15.85546875" customWidth="1"/>
    <col min="3" max="3" width="18" customWidth="1"/>
    <col min="4" max="4" width="20.28515625" style="2" customWidth="1"/>
    <col min="5" max="5" width="24.42578125" style="3" customWidth="1"/>
  </cols>
  <sheetData>
    <row r="2" spans="2:5" x14ac:dyDescent="0.25">
      <c r="B2" s="7" t="s">
        <v>7</v>
      </c>
      <c r="C2" s="7" t="s">
        <v>8</v>
      </c>
      <c r="D2" s="8" t="s">
        <v>9</v>
      </c>
      <c r="E2" s="9" t="s">
        <v>10</v>
      </c>
    </row>
    <row r="3" spans="2:5" x14ac:dyDescent="0.25">
      <c r="B3" s="4" t="s">
        <v>12</v>
      </c>
      <c r="C3" s="4" t="s">
        <v>11</v>
      </c>
      <c r="D3" s="5">
        <v>150.5</v>
      </c>
      <c r="E3" s="6">
        <v>0.1</v>
      </c>
    </row>
    <row r="4" spans="2:5" x14ac:dyDescent="0.25">
      <c r="B4" s="4" t="s">
        <v>13</v>
      </c>
      <c r="C4" s="4" t="s">
        <v>16</v>
      </c>
      <c r="D4" s="5">
        <v>185.35</v>
      </c>
      <c r="E4" s="6">
        <v>0.01</v>
      </c>
    </row>
    <row r="5" spans="2:5" x14ac:dyDescent="0.25">
      <c r="B5" s="4" t="s">
        <v>14</v>
      </c>
      <c r="C5" s="4" t="s">
        <v>17</v>
      </c>
      <c r="D5" s="5">
        <v>250.25</v>
      </c>
      <c r="E5" s="6">
        <v>0.05</v>
      </c>
    </row>
    <row r="6" spans="2:5" x14ac:dyDescent="0.25">
      <c r="B6" s="4" t="s">
        <v>15</v>
      </c>
      <c r="C6" s="4" t="s">
        <v>18</v>
      </c>
      <c r="D6" s="5">
        <v>100.75</v>
      </c>
      <c r="E6" s="6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221F-0025-402B-A438-3CAAFA8F5C9B}">
  <dimension ref="A1:N11"/>
  <sheetViews>
    <sheetView showGridLines="0" workbookViewId="0">
      <selection sqref="A1:L1"/>
    </sheetView>
  </sheetViews>
  <sheetFormatPr defaultRowHeight="15" x14ac:dyDescent="0.25"/>
  <cols>
    <col min="9" max="9" width="21.42578125" customWidth="1"/>
    <col min="14" max="14" width="19.7109375" customWidth="1"/>
  </cols>
  <sheetData>
    <row r="1" spans="1:14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x14ac:dyDescent="0.25">
      <c r="A2" s="26" t="s">
        <v>20</v>
      </c>
      <c r="B2" s="26"/>
      <c r="C2" s="26"/>
      <c r="D2" s="26"/>
      <c r="E2" s="26" t="s">
        <v>21</v>
      </c>
      <c r="F2" s="26"/>
      <c r="G2" s="26"/>
      <c r="H2" s="26"/>
      <c r="I2" s="26" t="s">
        <v>21</v>
      </c>
      <c r="J2" s="26"/>
      <c r="K2" s="26"/>
      <c r="L2" s="26"/>
    </row>
    <row r="3" spans="1:14" x14ac:dyDescent="0.25">
      <c r="A3" s="23">
        <v>46144</v>
      </c>
      <c r="B3" s="24"/>
      <c r="C3" s="24"/>
      <c r="D3" s="24"/>
      <c r="E3" s="25">
        <v>250.25</v>
      </c>
      <c r="F3" s="25"/>
      <c r="G3" s="25"/>
      <c r="H3" s="25"/>
      <c r="I3" s="24"/>
      <c r="J3" s="24"/>
      <c r="K3" s="24"/>
      <c r="L3" s="24"/>
      <c r="N3" s="11" t="s">
        <v>22</v>
      </c>
    </row>
    <row r="4" spans="1:14" x14ac:dyDescent="0.25">
      <c r="A4" s="23">
        <v>46145</v>
      </c>
      <c r="B4" s="24"/>
      <c r="C4" s="24"/>
      <c r="D4" s="24"/>
      <c r="E4" s="25">
        <v>300</v>
      </c>
      <c r="F4" s="25"/>
      <c r="G4" s="25"/>
      <c r="H4" s="25"/>
      <c r="I4" s="21">
        <f>(E4-E3)/E3</f>
        <v>0.19880119880119881</v>
      </c>
      <c r="J4" s="21"/>
      <c r="K4" s="21"/>
      <c r="L4" s="21"/>
      <c r="N4" s="10">
        <f>AVERAGE(I4:L11)</f>
        <v>-8.1596436336491718E-2</v>
      </c>
    </row>
    <row r="5" spans="1:14" x14ac:dyDescent="0.25">
      <c r="A5" s="23">
        <v>46146</v>
      </c>
      <c r="B5" s="24"/>
      <c r="C5" s="24"/>
      <c r="D5" s="24"/>
      <c r="E5" s="25">
        <v>350.15</v>
      </c>
      <c r="F5" s="25"/>
      <c r="G5" s="25"/>
      <c r="H5" s="25"/>
      <c r="I5" s="21">
        <f>(E5-E4)/E4</f>
        <v>0.1671666666666666</v>
      </c>
      <c r="J5" s="21"/>
      <c r="K5" s="21"/>
      <c r="L5" s="21"/>
    </row>
    <row r="6" spans="1:14" x14ac:dyDescent="0.25">
      <c r="A6" s="23">
        <v>46147</v>
      </c>
      <c r="B6" s="24"/>
      <c r="C6" s="24"/>
      <c r="D6" s="24"/>
      <c r="E6" s="25">
        <v>650.5</v>
      </c>
      <c r="F6" s="25"/>
      <c r="G6" s="25"/>
      <c r="H6" s="25"/>
      <c r="I6" s="21">
        <f>(E6-E5)/E5</f>
        <v>0.85777523918320731</v>
      </c>
      <c r="J6" s="21"/>
      <c r="K6" s="21"/>
      <c r="L6" s="21"/>
      <c r="N6" s="11" t="s">
        <v>23</v>
      </c>
    </row>
    <row r="7" spans="1:14" x14ac:dyDescent="0.25">
      <c r="A7" s="23">
        <v>46148</v>
      </c>
      <c r="B7" s="24"/>
      <c r="C7" s="24"/>
      <c r="D7" s="24"/>
      <c r="E7" s="25">
        <v>600.35</v>
      </c>
      <c r="F7" s="25"/>
      <c r="G7" s="25"/>
      <c r="H7" s="25"/>
      <c r="I7" s="21">
        <f t="shared" ref="I7:I10" si="0">(E7-E6)/E6</f>
        <v>-7.7094542659492657E-2</v>
      </c>
      <c r="J7" s="21"/>
      <c r="K7" s="21"/>
      <c r="L7" s="21"/>
      <c r="N7" s="12" t="str">
        <f>IF(N4&gt;0,"Positive","Negative")</f>
        <v>Negative</v>
      </c>
    </row>
    <row r="8" spans="1:14" x14ac:dyDescent="0.25">
      <c r="A8" s="23">
        <v>46149</v>
      </c>
      <c r="B8" s="24"/>
      <c r="C8" s="24"/>
      <c r="D8" s="24"/>
      <c r="E8" s="25">
        <v>150.19999999999999</v>
      </c>
      <c r="F8" s="25"/>
      <c r="G8" s="25"/>
      <c r="H8" s="25"/>
      <c r="I8" s="21">
        <f t="shared" si="0"/>
        <v>-0.74981260931123517</v>
      </c>
      <c r="J8" s="21"/>
      <c r="K8" s="21"/>
      <c r="L8" s="21"/>
    </row>
    <row r="9" spans="1:14" x14ac:dyDescent="0.25">
      <c r="A9" s="23">
        <v>46150</v>
      </c>
      <c r="B9" s="24"/>
      <c r="C9" s="24"/>
      <c r="D9" s="24"/>
      <c r="E9" s="25">
        <v>55.5</v>
      </c>
      <c r="F9" s="25"/>
      <c r="G9" s="25"/>
      <c r="H9" s="25"/>
      <c r="I9" s="21">
        <f t="shared" si="0"/>
        <v>-0.6304926764314247</v>
      </c>
      <c r="J9" s="21"/>
      <c r="K9" s="21"/>
      <c r="L9" s="21"/>
    </row>
    <row r="10" spans="1:14" x14ac:dyDescent="0.25">
      <c r="A10" s="23">
        <v>46151</v>
      </c>
      <c r="B10" s="24"/>
      <c r="C10" s="24"/>
      <c r="D10" s="24"/>
      <c r="E10" s="25">
        <v>80.5</v>
      </c>
      <c r="F10" s="25"/>
      <c r="G10" s="25"/>
      <c r="H10" s="25"/>
      <c r="I10" s="21">
        <f t="shared" si="0"/>
        <v>0.45045045045045046</v>
      </c>
      <c r="J10" s="21"/>
      <c r="K10" s="21"/>
      <c r="L10" s="21"/>
    </row>
    <row r="11" spans="1:14" x14ac:dyDescent="0.25">
      <c r="A11" s="23">
        <v>46152</v>
      </c>
      <c r="B11" s="24"/>
      <c r="C11" s="24"/>
      <c r="D11" s="24"/>
      <c r="E11" s="25">
        <v>10.5</v>
      </c>
      <c r="F11" s="25"/>
      <c r="G11" s="25"/>
      <c r="H11" s="25"/>
      <c r="I11" s="21">
        <f t="shared" ref="I11" si="1">(E11-E10)/E10</f>
        <v>-0.86956521739130432</v>
      </c>
      <c r="J11" s="21"/>
      <c r="K11" s="21"/>
      <c r="L11" s="21"/>
    </row>
  </sheetData>
  <mergeCells count="31">
    <mergeCell ref="A2:D2"/>
    <mergeCell ref="E2:H2"/>
    <mergeCell ref="A3:D3"/>
    <mergeCell ref="A4:D4"/>
    <mergeCell ref="A5:D5"/>
    <mergeCell ref="A10:D10"/>
    <mergeCell ref="E3:H3"/>
    <mergeCell ref="E4:H4"/>
    <mergeCell ref="E5:H5"/>
    <mergeCell ref="E6:H6"/>
    <mergeCell ref="E7:H7"/>
    <mergeCell ref="E8:H8"/>
    <mergeCell ref="E9:H9"/>
    <mergeCell ref="A6:D6"/>
    <mergeCell ref="A7:D7"/>
    <mergeCell ref="I10:L10"/>
    <mergeCell ref="A1:L1"/>
    <mergeCell ref="A11:D11"/>
    <mergeCell ref="E11:H11"/>
    <mergeCell ref="I11:L11"/>
    <mergeCell ref="E10:H10"/>
    <mergeCell ref="I2:L2"/>
    <mergeCell ref="I3:L3"/>
    <mergeCell ref="I4:L4"/>
    <mergeCell ref="I5:L5"/>
    <mergeCell ref="I6:L6"/>
    <mergeCell ref="I7:L7"/>
    <mergeCell ref="I8:L8"/>
    <mergeCell ref="I9:L9"/>
    <mergeCell ref="A8:D8"/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1B24-AD91-4661-91C0-87FEDD27A3C2}">
  <dimension ref="B2:I17"/>
  <sheetViews>
    <sheetView showGridLines="0" workbookViewId="0">
      <selection activeCell="I3" sqref="I3"/>
    </sheetView>
  </sheetViews>
  <sheetFormatPr defaultRowHeight="15" x14ac:dyDescent="0.25"/>
  <cols>
    <col min="2" max="2" width="13.42578125" customWidth="1"/>
    <col min="3" max="3" width="30.85546875" bestFit="1" customWidth="1"/>
    <col min="5" max="5" width="15.28515625" bestFit="1" customWidth="1"/>
    <col min="6" max="6" width="13.7109375" bestFit="1" customWidth="1"/>
  </cols>
  <sheetData>
    <row r="2" spans="2:9" x14ac:dyDescent="0.25">
      <c r="B2" s="13" t="s">
        <v>20</v>
      </c>
      <c r="C2" s="13" t="s">
        <v>24</v>
      </c>
      <c r="D2" s="18"/>
      <c r="E2" s="13" t="s">
        <v>25</v>
      </c>
      <c r="F2" s="16" t="s">
        <v>26</v>
      </c>
      <c r="G2" s="16" t="s">
        <v>27</v>
      </c>
      <c r="H2" s="16" t="s">
        <v>28</v>
      </c>
      <c r="I2" s="16" t="s">
        <v>29</v>
      </c>
    </row>
    <row r="3" spans="2:9" x14ac:dyDescent="0.25">
      <c r="B3" s="14">
        <v>46144</v>
      </c>
      <c r="C3" s="15">
        <v>1000000</v>
      </c>
      <c r="D3" s="17"/>
      <c r="E3" s="20">
        <f>SUM(C3:C17)</f>
        <v>1653820000</v>
      </c>
      <c r="F3" s="20">
        <f>MAX(C3:C17)</f>
        <v>800000000</v>
      </c>
      <c r="G3" s="20">
        <f>MIN(C3:C17)</f>
        <v>10000</v>
      </c>
      <c r="H3" s="19">
        <f>COUNT(C3:C17)</f>
        <v>15</v>
      </c>
      <c r="I3" s="19">
        <f>COUNTIF(C3:C17,"&gt;1000000")</f>
        <v>8</v>
      </c>
    </row>
    <row r="4" spans="2:9" x14ac:dyDescent="0.25">
      <c r="B4" s="14">
        <v>46145</v>
      </c>
      <c r="C4" s="15">
        <v>2000000</v>
      </c>
      <c r="D4" s="17"/>
      <c r="F4" s="17"/>
      <c r="G4" s="17"/>
      <c r="H4" s="17"/>
      <c r="I4" s="17"/>
    </row>
    <row r="5" spans="2:9" x14ac:dyDescent="0.25">
      <c r="B5" s="14">
        <v>46146</v>
      </c>
      <c r="C5" s="15">
        <v>3000000</v>
      </c>
      <c r="D5" s="17"/>
      <c r="E5" s="17"/>
      <c r="F5" s="17"/>
      <c r="G5" s="17"/>
      <c r="H5" s="17"/>
      <c r="I5" s="17"/>
    </row>
    <row r="6" spans="2:9" x14ac:dyDescent="0.25">
      <c r="B6" s="14">
        <v>46147</v>
      </c>
      <c r="C6" s="15">
        <v>10000</v>
      </c>
      <c r="D6" s="17"/>
      <c r="E6" s="17"/>
      <c r="F6" s="17"/>
      <c r="G6" s="17"/>
      <c r="H6" s="17"/>
      <c r="I6" s="17"/>
    </row>
    <row r="7" spans="2:9" x14ac:dyDescent="0.25">
      <c r="B7" s="14">
        <v>46148</v>
      </c>
      <c r="C7" s="15">
        <v>100000</v>
      </c>
      <c r="D7" s="17"/>
      <c r="E7" s="17"/>
      <c r="F7" s="17"/>
      <c r="G7" s="17"/>
      <c r="H7" s="17"/>
      <c r="I7" s="17"/>
    </row>
    <row r="8" spans="2:9" x14ac:dyDescent="0.25">
      <c r="B8" s="14">
        <v>46149</v>
      </c>
      <c r="C8" s="15">
        <v>500000</v>
      </c>
      <c r="D8" s="17"/>
      <c r="E8" s="17"/>
      <c r="F8" s="17"/>
      <c r="G8" s="17"/>
      <c r="H8" s="17"/>
      <c r="I8" s="17"/>
    </row>
    <row r="9" spans="2:9" x14ac:dyDescent="0.25">
      <c r="B9" s="14">
        <v>46150</v>
      </c>
      <c r="C9" s="15">
        <v>6000000</v>
      </c>
      <c r="D9" s="17"/>
      <c r="E9" s="17"/>
      <c r="F9" s="17"/>
      <c r="G9" s="17"/>
      <c r="H9" s="17"/>
      <c r="I9" s="17"/>
    </row>
    <row r="10" spans="2:9" x14ac:dyDescent="0.25">
      <c r="B10" s="14">
        <v>46151</v>
      </c>
      <c r="C10" s="15">
        <v>100000000</v>
      </c>
      <c r="D10" s="17"/>
      <c r="E10" s="17"/>
      <c r="F10" s="17"/>
      <c r="G10" s="17"/>
      <c r="H10" s="17"/>
      <c r="I10" s="17"/>
    </row>
    <row r="11" spans="2:9" x14ac:dyDescent="0.25">
      <c r="B11" s="14">
        <v>46152</v>
      </c>
      <c r="C11" s="15">
        <v>700000000</v>
      </c>
      <c r="D11" s="17"/>
      <c r="E11" s="17"/>
      <c r="F11" s="17"/>
      <c r="G11" s="17"/>
      <c r="H11" s="17"/>
      <c r="I11" s="17"/>
    </row>
    <row r="12" spans="2:9" x14ac:dyDescent="0.25">
      <c r="B12" s="14">
        <v>46153</v>
      </c>
      <c r="C12" s="15">
        <v>800000000</v>
      </c>
      <c r="D12" s="17"/>
      <c r="E12" s="17"/>
      <c r="F12" s="17"/>
      <c r="G12" s="17"/>
      <c r="H12" s="17"/>
      <c r="I12" s="17"/>
    </row>
    <row r="13" spans="2:9" x14ac:dyDescent="0.25">
      <c r="B13" s="14">
        <v>46154</v>
      </c>
      <c r="C13" s="15">
        <v>10000</v>
      </c>
      <c r="D13" s="17"/>
      <c r="E13" s="17"/>
      <c r="F13" s="17"/>
      <c r="G13" s="17"/>
      <c r="H13" s="17"/>
      <c r="I13" s="17"/>
    </row>
    <row r="14" spans="2:9" x14ac:dyDescent="0.25">
      <c r="B14" s="14">
        <v>46155</v>
      </c>
      <c r="C14" s="15">
        <v>300000</v>
      </c>
      <c r="D14" s="17"/>
      <c r="E14" s="17"/>
      <c r="F14" s="17"/>
      <c r="G14" s="17"/>
      <c r="H14" s="17"/>
      <c r="I14" s="17"/>
    </row>
    <row r="15" spans="2:9" x14ac:dyDescent="0.25">
      <c r="B15" s="14">
        <v>46156</v>
      </c>
      <c r="C15" s="15">
        <v>15000000</v>
      </c>
      <c r="D15" s="17"/>
      <c r="E15" s="17"/>
      <c r="F15" s="17"/>
      <c r="G15" s="17"/>
      <c r="H15" s="17"/>
      <c r="I15" s="17"/>
    </row>
    <row r="16" spans="2:9" x14ac:dyDescent="0.25">
      <c r="B16" s="14">
        <v>46157</v>
      </c>
      <c r="C16" s="15">
        <v>25000000</v>
      </c>
      <c r="D16" s="17"/>
      <c r="E16" s="17"/>
      <c r="F16" s="17"/>
      <c r="G16" s="17"/>
      <c r="H16" s="17"/>
      <c r="I16" s="17"/>
    </row>
    <row r="17" spans="2:9" x14ac:dyDescent="0.25">
      <c r="B17" s="14">
        <v>46158</v>
      </c>
      <c r="C17" s="15">
        <v>900000</v>
      </c>
      <c r="D17" s="17"/>
      <c r="E17" s="17"/>
      <c r="F17" s="17"/>
      <c r="G17" s="17"/>
      <c r="H17" s="17"/>
      <c r="I1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967B-77A0-46E6-9D75-84A934B0FAA8}">
  <dimension ref="A1:G9"/>
  <sheetViews>
    <sheetView showGridLines="0" zoomScale="175" zoomScaleNormal="175" workbookViewId="0">
      <selection activeCell="E3" sqref="E3"/>
    </sheetView>
  </sheetViews>
  <sheetFormatPr defaultRowHeight="15" x14ac:dyDescent="0.25"/>
  <cols>
    <col min="5" max="5" width="11" customWidth="1"/>
    <col min="6" max="6" width="10.7109375" bestFit="1" customWidth="1"/>
    <col min="7" max="7" width="19.28515625" bestFit="1" customWidth="1"/>
  </cols>
  <sheetData>
    <row r="1" spans="1:7" x14ac:dyDescent="0.25">
      <c r="A1" s="27" t="s">
        <v>30</v>
      </c>
      <c r="B1" s="27" t="s">
        <v>31</v>
      </c>
      <c r="C1" s="28" t="s">
        <v>32</v>
      </c>
      <c r="D1" s="28"/>
      <c r="E1" s="28" t="s">
        <v>35</v>
      </c>
      <c r="F1" s="28"/>
      <c r="G1" s="27" t="s">
        <v>36</v>
      </c>
    </row>
    <row r="2" spans="1:7" x14ac:dyDescent="0.25">
      <c r="A2" s="27"/>
      <c r="B2" s="27"/>
      <c r="C2" s="29" t="s">
        <v>33</v>
      </c>
      <c r="D2" s="29" t="s">
        <v>34</v>
      </c>
      <c r="E2" s="29" t="s">
        <v>33</v>
      </c>
      <c r="F2" s="29" t="s">
        <v>34</v>
      </c>
      <c r="G2" s="27"/>
    </row>
    <row r="3" spans="1:7" x14ac:dyDescent="0.25">
      <c r="A3" s="31" t="s">
        <v>37</v>
      </c>
      <c r="B3" s="32">
        <f ca="1">RANDBETWEEN(10, 50)</f>
        <v>41</v>
      </c>
      <c r="C3" s="38">
        <f ca="1">RANDBETWEEN(2, 10)</f>
        <v>6</v>
      </c>
      <c r="D3" s="30">
        <f ca="1">RANDBETWEEN(2, 10)</f>
        <v>8</v>
      </c>
      <c r="E3" s="37">
        <f ca="1">$B3*C3</f>
        <v>246</v>
      </c>
      <c r="F3" s="44">
        <f ca="1">$B3*D3</f>
        <v>328</v>
      </c>
      <c r="G3" s="47">
        <f ca="1">(E3+F3)/(E$8+F$8)</f>
        <v>0.25879170423805231</v>
      </c>
    </row>
    <row r="4" spans="1:7" x14ac:dyDescent="0.25">
      <c r="A4" s="31" t="s">
        <v>38</v>
      </c>
      <c r="B4" s="32">
        <f t="shared" ref="B4:B7" ca="1" si="0">RANDBETWEEN(10, 50)</f>
        <v>40</v>
      </c>
      <c r="C4" s="39">
        <f t="shared" ref="C4:D7" ca="1" si="1">RANDBETWEEN(2, 10)</f>
        <v>10</v>
      </c>
      <c r="D4" s="33">
        <f t="shared" ca="1" si="1"/>
        <v>5</v>
      </c>
      <c r="E4" s="37">
        <f t="shared" ref="E4:F7" ca="1" si="2">$B4*C4</f>
        <v>400</v>
      </c>
      <c r="F4" s="45">
        <f t="shared" ca="1" si="2"/>
        <v>200</v>
      </c>
      <c r="G4" s="47">
        <f ca="1">(E4+F4)/(E$8+F$8)</f>
        <v>0.27051397655545534</v>
      </c>
    </row>
    <row r="5" spans="1:7" x14ac:dyDescent="0.25">
      <c r="A5" s="31" t="s">
        <v>39</v>
      </c>
      <c r="B5" s="32">
        <f t="shared" ca="1" si="0"/>
        <v>24</v>
      </c>
      <c r="C5" s="39">
        <f t="shared" ca="1" si="1"/>
        <v>8</v>
      </c>
      <c r="D5" s="36">
        <f t="shared" ca="1" si="1"/>
        <v>3</v>
      </c>
      <c r="E5" s="37">
        <f t="shared" ca="1" si="2"/>
        <v>192</v>
      </c>
      <c r="F5" s="44">
        <f t="shared" ca="1" si="2"/>
        <v>72</v>
      </c>
      <c r="G5" s="47">
        <f t="shared" ref="G5:G7" ca="1" si="3">(E5+F5)/(E$8+F$8)</f>
        <v>0.11902614968440037</v>
      </c>
    </row>
    <row r="6" spans="1:7" x14ac:dyDescent="0.25">
      <c r="A6" s="31" t="s">
        <v>40</v>
      </c>
      <c r="B6" s="32">
        <f t="shared" ca="1" si="0"/>
        <v>10</v>
      </c>
      <c r="C6" s="34">
        <f t="shared" ca="1" si="1"/>
        <v>6</v>
      </c>
      <c r="D6" s="33">
        <f t="shared" ca="1" si="1"/>
        <v>6</v>
      </c>
      <c r="E6" s="37">
        <f t="shared" ca="1" si="2"/>
        <v>60</v>
      </c>
      <c r="F6" s="44">
        <f t="shared" ca="1" si="2"/>
        <v>60</v>
      </c>
      <c r="G6" s="47">
        <f t="shared" ca="1" si="3"/>
        <v>5.4102795311091072E-2</v>
      </c>
    </row>
    <row r="7" spans="1:7" x14ac:dyDescent="0.25">
      <c r="A7" s="31" t="s">
        <v>41</v>
      </c>
      <c r="B7" s="41">
        <f t="shared" ca="1" si="0"/>
        <v>44</v>
      </c>
      <c r="C7" s="40">
        <f t="shared" ca="1" si="1"/>
        <v>5</v>
      </c>
      <c r="D7" s="35">
        <f t="shared" ca="1" si="1"/>
        <v>10</v>
      </c>
      <c r="E7" s="37">
        <f t="shared" ca="1" si="2"/>
        <v>220</v>
      </c>
      <c r="F7" s="44">
        <f t="shared" ca="1" si="2"/>
        <v>440</v>
      </c>
      <c r="G7" s="47">
        <f t="shared" ca="1" si="3"/>
        <v>0.29756537421100088</v>
      </c>
    </row>
    <row r="8" spans="1:7" x14ac:dyDescent="0.25">
      <c r="A8" s="31" t="s">
        <v>42</v>
      </c>
      <c r="B8" s="43"/>
      <c r="C8" s="43"/>
      <c r="D8" s="43"/>
      <c r="E8" s="46">
        <f ca="1">SUM(E3:E7)</f>
        <v>1118</v>
      </c>
      <c r="F8" s="46">
        <f ca="1">SUM(F3:F7)</f>
        <v>1100</v>
      </c>
      <c r="G8" s="43"/>
    </row>
    <row r="9" spans="1:7" x14ac:dyDescent="0.25">
      <c r="C9" s="42"/>
    </row>
  </sheetData>
  <mergeCells count="5">
    <mergeCell ref="A1:A2"/>
    <mergeCell ref="B1:B2"/>
    <mergeCell ref="C1:D1"/>
    <mergeCell ref="E1:F1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3DF0-38D4-4363-880C-1DE1AFCD6401}">
  <dimension ref="A1:G14"/>
  <sheetViews>
    <sheetView showGridLines="0" workbookViewId="0">
      <selection activeCell="L14" sqref="L14"/>
    </sheetView>
  </sheetViews>
  <sheetFormatPr defaultRowHeight="15" x14ac:dyDescent="0.25"/>
  <cols>
    <col min="1" max="1" width="11" customWidth="1"/>
    <col min="2" max="2" width="11.5703125" customWidth="1"/>
    <col min="3" max="3" width="11.7109375" customWidth="1"/>
    <col min="6" max="6" width="16.42578125" customWidth="1"/>
    <col min="7" max="7" width="17.7109375" customWidth="1"/>
  </cols>
  <sheetData>
    <row r="1" spans="1:7" x14ac:dyDescent="0.25">
      <c r="A1" s="48" t="s">
        <v>43</v>
      </c>
      <c r="B1" s="48" t="s">
        <v>44</v>
      </c>
      <c r="C1" s="48" t="s">
        <v>45</v>
      </c>
      <c r="F1" s="49" t="s">
        <v>45</v>
      </c>
      <c r="G1" s="49"/>
    </row>
    <row r="2" spans="1:7" x14ac:dyDescent="0.25">
      <c r="A2" s="61" t="s">
        <v>46</v>
      </c>
      <c r="B2" s="57" t="s">
        <v>50</v>
      </c>
      <c r="C2" s="51">
        <f ca="1">RANDBETWEEN(500, 1000)</f>
        <v>811</v>
      </c>
      <c r="F2" s="55" t="s">
        <v>48</v>
      </c>
      <c r="G2" s="56">
        <f ca="1">SUMIF($A$2:$A$9, F2, $C$2:$C$9)</f>
        <v>1673</v>
      </c>
    </row>
    <row r="3" spans="1:7" x14ac:dyDescent="0.25">
      <c r="A3" s="63" t="s">
        <v>46</v>
      </c>
      <c r="B3" s="59" t="s">
        <v>51</v>
      </c>
      <c r="C3" s="54">
        <f t="shared" ref="C3:C9" ca="1" si="0">RANDBETWEEN(500, 1000)</f>
        <v>688</v>
      </c>
      <c r="F3" s="43" t="s">
        <v>50</v>
      </c>
      <c r="G3" s="43">
        <f ca="1">SUMIFS($C$2:$C$9, $A$2:$A$9, F2, $B$2:$B$9, F3)</f>
        <v>721</v>
      </c>
    </row>
    <row r="4" spans="1:7" x14ac:dyDescent="0.25">
      <c r="A4" s="62" t="s">
        <v>47</v>
      </c>
      <c r="B4" s="58" t="s">
        <v>50</v>
      </c>
      <c r="C4" s="54">
        <f t="shared" ca="1" si="0"/>
        <v>706</v>
      </c>
      <c r="F4" s="43" t="s">
        <v>51</v>
      </c>
      <c r="G4" s="43">
        <f ca="1">SUMIFS($C$2:$C$9, $A$2:$A$9, F2, $B$2:$B$9, F4)</f>
        <v>952</v>
      </c>
    </row>
    <row r="5" spans="1:7" x14ac:dyDescent="0.25">
      <c r="A5" s="63" t="s">
        <v>47</v>
      </c>
      <c r="B5" s="59" t="s">
        <v>51</v>
      </c>
      <c r="C5" s="54">
        <f t="shared" ca="1" si="0"/>
        <v>680</v>
      </c>
      <c r="F5" s="55" t="s">
        <v>46</v>
      </c>
      <c r="G5" s="56">
        <f ca="1">SUMIF($A$2:$A$9, F5, $C$2:$C$9)</f>
        <v>1499</v>
      </c>
    </row>
    <row r="6" spans="1:7" x14ac:dyDescent="0.25">
      <c r="A6" s="62" t="s">
        <v>48</v>
      </c>
      <c r="B6" s="58" t="s">
        <v>50</v>
      </c>
      <c r="C6" s="54">
        <f t="shared" ca="1" si="0"/>
        <v>721</v>
      </c>
      <c r="F6" s="43" t="s">
        <v>50</v>
      </c>
      <c r="G6" s="43">
        <f ca="1">SUMIFS($C$2:$C$9, $A$2:$A$9, F5, $B$2:$B$9, F6)</f>
        <v>811</v>
      </c>
    </row>
    <row r="7" spans="1:7" x14ac:dyDescent="0.25">
      <c r="A7" s="63" t="s">
        <v>48</v>
      </c>
      <c r="B7" s="59" t="s">
        <v>51</v>
      </c>
      <c r="C7" s="54">
        <f t="shared" ca="1" si="0"/>
        <v>952</v>
      </c>
      <c r="F7" s="43" t="s">
        <v>51</v>
      </c>
      <c r="G7" s="43">
        <f ca="1">SUMIFS($C$2:$C$9, $A$2:$A$9, F5, $B$2:$B$9, F7)</f>
        <v>688</v>
      </c>
    </row>
    <row r="8" spans="1:7" x14ac:dyDescent="0.25">
      <c r="A8" s="62" t="s">
        <v>49</v>
      </c>
      <c r="B8" s="58" t="s">
        <v>50</v>
      </c>
      <c r="C8" s="54">
        <f t="shared" ca="1" si="0"/>
        <v>646</v>
      </c>
      <c r="F8" s="55" t="s">
        <v>47</v>
      </c>
      <c r="G8" s="56">
        <f ca="1">SUMIF($A$2:$A$9, F8, $C$2:$C$9)</f>
        <v>1386</v>
      </c>
    </row>
    <row r="9" spans="1:7" x14ac:dyDescent="0.25">
      <c r="A9" s="64" t="s">
        <v>49</v>
      </c>
      <c r="B9" s="60" t="s">
        <v>51</v>
      </c>
      <c r="C9" s="52">
        <f t="shared" ca="1" si="0"/>
        <v>968</v>
      </c>
      <c r="F9" s="43" t="s">
        <v>50</v>
      </c>
      <c r="G9" s="43">
        <f ca="1">SUMIFS($C$2:$C$9, $A$2:$A$9, F8, $B$2:$B$9, F9)</f>
        <v>706</v>
      </c>
    </row>
    <row r="10" spans="1:7" x14ac:dyDescent="0.25">
      <c r="F10" s="43" t="s">
        <v>51</v>
      </c>
      <c r="G10" s="43">
        <f ca="1">SUMIFS($C$2:$C$9, $A$2:$A$9, F8, $B$2:$B$9, F10)</f>
        <v>680</v>
      </c>
    </row>
    <row r="11" spans="1:7" x14ac:dyDescent="0.25">
      <c r="F11" s="55" t="s">
        <v>49</v>
      </c>
      <c r="G11" s="56">
        <f ca="1">SUMIF($A$2:$A$9, F11, $C$2:$C$9)</f>
        <v>1614</v>
      </c>
    </row>
    <row r="12" spans="1:7" x14ac:dyDescent="0.25">
      <c r="F12" s="43" t="s">
        <v>50</v>
      </c>
      <c r="G12" s="43">
        <f ca="1">SUMIFS($C$2:$C$9, $A$2:$A$9, F11, $B$2:$B$9, F12)</f>
        <v>646</v>
      </c>
    </row>
    <row r="13" spans="1:7" x14ac:dyDescent="0.25">
      <c r="F13" s="43" t="s">
        <v>51</v>
      </c>
      <c r="G13" s="43">
        <f ca="1">SUMIFS($C$2:$C$9, $A$2:$A$9, F11, $B$2:$B$9, F13)</f>
        <v>968</v>
      </c>
    </row>
    <row r="14" spans="1:7" x14ac:dyDescent="0.25">
      <c r="F14" s="50" t="s">
        <v>52</v>
      </c>
      <c r="G14" s="53">
        <f ca="1">SUM(G2,G5,G8,G11)</f>
        <v>6172</v>
      </c>
    </row>
  </sheetData>
  <mergeCells count="1"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70FF-96FA-4025-A517-8BDE3ECE5EBF}">
  <dimension ref="B1:F9"/>
  <sheetViews>
    <sheetView tabSelected="1" workbookViewId="0">
      <selection activeCell="G2" sqref="G2"/>
    </sheetView>
  </sheetViews>
  <sheetFormatPr defaultRowHeight="15" x14ac:dyDescent="0.25"/>
  <cols>
    <col min="2" max="2" width="12.7109375" style="65" bestFit="1" customWidth="1"/>
    <col min="3" max="3" width="16.42578125" style="65" bestFit="1" customWidth="1"/>
    <col min="4" max="4" width="16.7109375" style="65" bestFit="1" customWidth="1"/>
    <col min="5" max="5" width="24.28515625" style="65" customWidth="1"/>
    <col min="6" max="6" width="21.85546875" style="65" customWidth="1"/>
  </cols>
  <sheetData>
    <row r="1" spans="2:6" ht="30" x14ac:dyDescent="0.25">
      <c r="B1" s="71" t="s">
        <v>53</v>
      </c>
      <c r="C1" s="69" t="s">
        <v>54</v>
      </c>
      <c r="D1" s="69" t="s">
        <v>55</v>
      </c>
      <c r="E1" s="70" t="s">
        <v>56</v>
      </c>
      <c r="F1" s="68" t="s">
        <v>57</v>
      </c>
    </row>
    <row r="2" spans="2:6" x14ac:dyDescent="0.25">
      <c r="B2" s="65" t="s">
        <v>58</v>
      </c>
      <c r="C2" s="65" t="s">
        <v>66</v>
      </c>
      <c r="D2" s="65" t="s">
        <v>66</v>
      </c>
      <c r="E2" s="66">
        <f ca="1">RANDBETWEEN(5000, 80000)</f>
        <v>21206</v>
      </c>
      <c r="F2" s="67">
        <f>DATE(2026, 5, 7)</f>
        <v>46149</v>
      </c>
    </row>
    <row r="3" spans="2:6" x14ac:dyDescent="0.25">
      <c r="B3" s="65" t="s">
        <v>59</v>
      </c>
      <c r="C3" s="65" t="s">
        <v>67</v>
      </c>
      <c r="D3" s="65" t="s">
        <v>67</v>
      </c>
      <c r="E3" s="66">
        <f t="shared" ref="E3:E9" ca="1" si="0">RANDBETWEEN(5000, 80000)</f>
        <v>14031</v>
      </c>
      <c r="F3" s="67">
        <f>DATE(2026, 6, 7)</f>
        <v>46180</v>
      </c>
    </row>
    <row r="4" spans="2:6" x14ac:dyDescent="0.25">
      <c r="B4" s="65" t="s">
        <v>60</v>
      </c>
      <c r="C4" s="65" t="s">
        <v>68</v>
      </c>
      <c r="D4" s="65" t="s">
        <v>68</v>
      </c>
      <c r="E4" s="66">
        <f t="shared" ca="1" si="0"/>
        <v>14215</v>
      </c>
      <c r="F4" s="67">
        <f>DATE(2026, 7, 7)</f>
        <v>46210</v>
      </c>
    </row>
    <row r="5" spans="2:6" x14ac:dyDescent="0.25">
      <c r="B5" s="65" t="s">
        <v>61</v>
      </c>
      <c r="C5" s="65" t="s">
        <v>69</v>
      </c>
      <c r="D5" s="65" t="s">
        <v>69</v>
      </c>
      <c r="E5" s="66">
        <f t="shared" ca="1" si="0"/>
        <v>44607</v>
      </c>
      <c r="F5" s="67">
        <f>DATE(2026, 8, 7)</f>
        <v>46241</v>
      </c>
    </row>
    <row r="6" spans="2:6" x14ac:dyDescent="0.25">
      <c r="B6" s="65" t="s">
        <v>62</v>
      </c>
      <c r="C6" s="65" t="s">
        <v>70</v>
      </c>
      <c r="D6" s="65" t="s">
        <v>70</v>
      </c>
      <c r="E6" s="66">
        <f t="shared" ca="1" si="0"/>
        <v>64020</v>
      </c>
      <c r="F6" s="67">
        <f>DATE(2026, 9, 7)</f>
        <v>46272</v>
      </c>
    </row>
    <row r="7" spans="2:6" x14ac:dyDescent="0.25">
      <c r="B7" s="65" t="s">
        <v>63</v>
      </c>
      <c r="C7" s="65" t="s">
        <v>71</v>
      </c>
      <c r="D7" s="65" t="s">
        <v>71</v>
      </c>
      <c r="E7" s="66">
        <f t="shared" ca="1" si="0"/>
        <v>8305</v>
      </c>
      <c r="F7" s="67">
        <f>DATE(2026, 10, 7)</f>
        <v>46302</v>
      </c>
    </row>
    <row r="8" spans="2:6" x14ac:dyDescent="0.25">
      <c r="B8" s="65" t="s">
        <v>64</v>
      </c>
      <c r="C8" s="65" t="s">
        <v>72</v>
      </c>
      <c r="D8" s="65" t="s">
        <v>72</v>
      </c>
      <c r="E8" s="66">
        <f t="shared" ca="1" si="0"/>
        <v>8319</v>
      </c>
      <c r="F8" s="67">
        <f>DATE(2026, 11, 7)</f>
        <v>46333</v>
      </c>
    </row>
    <row r="9" spans="2:6" x14ac:dyDescent="0.25">
      <c r="B9" s="65" t="s">
        <v>65</v>
      </c>
      <c r="C9" s="65" t="s">
        <v>73</v>
      </c>
      <c r="D9" s="65" t="s">
        <v>73</v>
      </c>
      <c r="E9" s="66">
        <f t="shared" ca="1" si="0"/>
        <v>70353</v>
      </c>
      <c r="F9" s="67">
        <f>DATE(2026, 12, 7)</f>
        <v>46363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</dc:creator>
  <cp:lastModifiedBy>Jessie Corkery</cp:lastModifiedBy>
  <dcterms:created xsi:type="dcterms:W3CDTF">2015-06-05T18:17:20Z</dcterms:created>
  <dcterms:modified xsi:type="dcterms:W3CDTF">2026-05-07T00:50:37Z</dcterms:modified>
</cp:coreProperties>
</file>