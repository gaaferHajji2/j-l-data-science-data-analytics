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3.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Tests\j-l-data-science-data-analytics\Excel-Finance\Finance-01\"/>
    </mc:Choice>
  </mc:AlternateContent>
  <xr:revisionPtr revIDLastSave="0" documentId="13_ncr:1_{6BC27389-8955-47E7-B5CF-3E8D23505E41}" xr6:coauthVersionLast="47" xr6:coauthVersionMax="47" xr10:uidLastSave="{00000000-0000-0000-0000-000000000000}"/>
  <bookViews>
    <workbookView xWindow="-108" yWindow="-108" windowWidth="23256" windowHeight="12456" firstSheet="5" activeTab="13" xr2:uid="{00000000-000D-0000-FFFF-FFFF00000000}"/>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With XLOOKUP" sheetId="12" r:id="rId12"/>
    <sheet name="Sheet12" sheetId="13" r:id="rId13"/>
    <sheet name="Sheet13" sheetId="14" r:id="rId14"/>
  </sheets>
  <definedNames>
    <definedName name="_xlnm._FilterDatabase" localSheetId="6" hidden="1">Sheet7!$B$1:$F$9</definedName>
    <definedName name="Slicer_COMPANY_NAME">#N/A</definedName>
    <definedName name="Slicer_INVESTMENT_AMOUNT__USD">#N/A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5"/>
        <x14:slicerCache r:id="rId1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7" i="3" l="1"/>
  <c r="G3" i="10"/>
  <c r="D4" i="14"/>
  <c r="D5" i="14"/>
  <c r="D6" i="14"/>
  <c r="D7" i="14"/>
  <c r="D8" i="14"/>
  <c r="D9" i="14"/>
  <c r="D10" i="14"/>
  <c r="D11" i="14"/>
  <c r="D12" i="14"/>
  <c r="D13" i="14"/>
  <c r="D3" i="14"/>
  <c r="C4" i="14"/>
  <c r="C5" i="14"/>
  <c r="C6" i="14"/>
  <c r="C7" i="14"/>
  <c r="C8" i="14"/>
  <c r="C9" i="14"/>
  <c r="C10" i="14"/>
  <c r="C11" i="14"/>
  <c r="C12" i="14"/>
  <c r="C13" i="14"/>
  <c r="C3" i="14"/>
  <c r="L3" i="13"/>
  <c r="M5" i="13" a="1"/>
  <c r="M5" i="13"/>
  <c r="M6" i="13" a="1"/>
  <c r="M6" i="13"/>
  <c r="M7" i="13" a="1"/>
  <c r="M7" i="13"/>
  <c r="L4" i="13"/>
  <c r="L5" i="13"/>
  <c r="L6" i="13"/>
  <c r="L7" i="13"/>
  <c r="K4" i="13"/>
  <c r="K5" i="13"/>
  <c r="K6" i="13"/>
  <c r="K7" i="13"/>
  <c r="K3" i="13"/>
  <c r="E4" i="13"/>
  <c r="M3" i="13" s="1" a="1"/>
  <c r="M3" i="13" s="1"/>
  <c r="E5" i="13"/>
  <c r="E6" i="13"/>
  <c r="E7" i="13"/>
  <c r="E8" i="13"/>
  <c r="E3" i="13"/>
  <c r="D4" i="13"/>
  <c r="M4" i="13" s="1" a="1"/>
  <c r="M4" i="13" s="1"/>
  <c r="D5" i="13"/>
  <c r="D6" i="13"/>
  <c r="D7" i="13"/>
  <c r="D8" i="13"/>
  <c r="D3" i="13"/>
  <c r="C4" i="13"/>
  <c r="C5" i="13"/>
  <c r="C6" i="13"/>
  <c r="C7" i="13"/>
  <c r="C8" i="13"/>
  <c r="C3" i="13"/>
  <c r="E12" i="12"/>
  <c r="D12" i="12"/>
  <c r="E11" i="12"/>
  <c r="I6" i="12" s="1"/>
  <c r="D11" i="12"/>
  <c r="H6" i="12" s="1"/>
  <c r="E10" i="12"/>
  <c r="D10" i="12"/>
  <c r="E9" i="12"/>
  <c r="D9" i="12"/>
  <c r="E8" i="12"/>
  <c r="I5" i="12" s="1"/>
  <c r="D8" i="12"/>
  <c r="H5" i="12" s="1"/>
  <c r="E7" i="12"/>
  <c r="D7" i="12"/>
  <c r="E6" i="12"/>
  <c r="D6" i="12"/>
  <c r="E5" i="12"/>
  <c r="D5" i="12"/>
  <c r="E4" i="12"/>
  <c r="I4" i="12" s="1"/>
  <c r="D4" i="12"/>
  <c r="H4" i="12" s="1"/>
  <c r="E3" i="12"/>
  <c r="I3" i="12" s="1"/>
  <c r="D3" i="12"/>
  <c r="H3" i="12" s="1"/>
  <c r="E4" i="11"/>
  <c r="I4" i="11" s="1"/>
  <c r="E5" i="11"/>
  <c r="E6" i="11"/>
  <c r="E7" i="11"/>
  <c r="E8" i="11"/>
  <c r="I5" i="11" s="1"/>
  <c r="E9" i="11"/>
  <c r="E10" i="11"/>
  <c r="E11" i="11"/>
  <c r="I6" i="11" s="1"/>
  <c r="E12" i="11"/>
  <c r="E3" i="11"/>
  <c r="I3" i="11" s="1"/>
  <c r="D4" i="11"/>
  <c r="H4" i="11" s="1"/>
  <c r="D5" i="11"/>
  <c r="D6" i="11"/>
  <c r="D7" i="11"/>
  <c r="D8" i="11"/>
  <c r="H5" i="11" s="1"/>
  <c r="D9" i="11"/>
  <c r="D10" i="11"/>
  <c r="D11" i="11"/>
  <c r="H6" i="11" s="1"/>
  <c r="D12" i="11"/>
  <c r="D3" i="11"/>
  <c r="H3" i="11" s="1"/>
  <c r="G5" i="10"/>
  <c r="G6" i="10"/>
  <c r="G7" i="10"/>
  <c r="G8" i="10"/>
  <c r="G4" i="10"/>
  <c r="F4" i="10"/>
  <c r="F5" i="10"/>
  <c r="F6" i="10"/>
  <c r="F7" i="10"/>
  <c r="F8" i="10"/>
  <c r="F3" i="10"/>
  <c r="D4" i="8"/>
  <c r="E4" i="8"/>
  <c r="D5" i="8"/>
  <c r="E5" i="8"/>
  <c r="D6" i="8"/>
  <c r="E6" i="8"/>
  <c r="D7" i="8"/>
  <c r="E7" i="8"/>
  <c r="D8" i="8"/>
  <c r="E8" i="8"/>
  <c r="D9" i="8"/>
  <c r="E9" i="8"/>
  <c r="D10" i="8"/>
  <c r="E10" i="8"/>
  <c r="D11" i="8"/>
  <c r="E11" i="8"/>
  <c r="D12" i="8"/>
  <c r="E12" i="8"/>
  <c r="D13" i="8"/>
  <c r="E13" i="8"/>
  <c r="D14" i="8"/>
  <c r="E14" i="8"/>
  <c r="C5" i="8"/>
  <c r="C6" i="8"/>
  <c r="C7" i="8"/>
  <c r="C8" i="8"/>
  <c r="C9" i="8"/>
  <c r="C10" i="8"/>
  <c r="C11" i="8"/>
  <c r="C12" i="8"/>
  <c r="C13" i="8"/>
  <c r="C14" i="8"/>
  <c r="C4" i="8"/>
  <c r="E12" i="7"/>
  <c r="F8" i="7"/>
  <c r="F9" i="7"/>
  <c r="F4" i="7"/>
  <c r="F7" i="7"/>
  <c r="F3" i="7"/>
  <c r="F6" i="7"/>
  <c r="F5" i="7"/>
  <c r="F2" i="7"/>
  <c r="C3" i="6"/>
  <c r="G7" i="6" s="1"/>
  <c r="C4" i="6"/>
  <c r="G9" i="6" s="1"/>
  <c r="C5" i="6"/>
  <c r="G10" i="6" s="1"/>
  <c r="C6" i="6"/>
  <c r="G3" i="6" s="1"/>
  <c r="C7" i="6"/>
  <c r="G4" i="6" s="1"/>
  <c r="C8" i="6"/>
  <c r="G12" i="6" s="1"/>
  <c r="C9" i="6"/>
  <c r="G13" i="6" s="1"/>
  <c r="C2" i="6"/>
  <c r="G6" i="6" s="1"/>
  <c r="C4" i="5"/>
  <c r="D4" i="5"/>
  <c r="C5" i="5"/>
  <c r="D5" i="5"/>
  <c r="C6" i="5"/>
  <c r="D6" i="5"/>
  <c r="C7" i="5"/>
  <c r="D7" i="5"/>
  <c r="D3" i="5"/>
  <c r="C3" i="5"/>
  <c r="B4" i="5"/>
  <c r="B5" i="5"/>
  <c r="B6" i="5"/>
  <c r="B7" i="5"/>
  <c r="B3" i="5"/>
  <c r="I3" i="4"/>
  <c r="H3" i="4"/>
  <c r="G3" i="4"/>
  <c r="F3" i="4"/>
  <c r="E3" i="4"/>
  <c r="N4" i="3"/>
  <c r="I11" i="3"/>
  <c r="I6" i="3"/>
  <c r="I5" i="3"/>
  <c r="I7" i="3"/>
  <c r="I8" i="3"/>
  <c r="I9" i="3"/>
  <c r="I10" i="3"/>
  <c r="I4" i="3"/>
  <c r="E3" i="14" l="1" a="1"/>
  <c r="E6" i="5"/>
  <c r="G5" i="6"/>
  <c r="G11" i="6"/>
  <c r="G2" i="6"/>
  <c r="G8" i="6"/>
  <c r="E4" i="5"/>
  <c r="F7" i="5"/>
  <c r="F6" i="5"/>
  <c r="E5" i="5"/>
  <c r="F5" i="5"/>
  <c r="E7" i="5"/>
  <c r="F4" i="5"/>
  <c r="E3" i="5"/>
  <c r="F3" i="5"/>
  <c r="E3" i="14" l="1"/>
  <c r="E14" i="14" s="1"/>
  <c r="G14" i="6"/>
  <c r="F8" i="5"/>
  <c r="E8" i="5"/>
  <c r="G5" i="5" l="1"/>
  <c r="G7" i="5"/>
  <c r="G6" i="5"/>
  <c r="G3" i="5"/>
  <c r="G4"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<sst xmlns="http://schemas.openxmlformats.org/spreadsheetml/2006/main" count="233" uniqueCount="137">
  <si>
    <t>Sunday</t>
  </si>
  <si>
    <t>Monday</t>
  </si>
  <si>
    <t>Tuesday</t>
  </si>
  <si>
    <t>Wednesday</t>
  </si>
  <si>
    <t>Thursday</t>
  </si>
  <si>
    <t>Friday</t>
  </si>
  <si>
    <t>Saturday</t>
  </si>
  <si>
    <t>ticker</t>
  </si>
  <si>
    <t>company name</t>
  </si>
  <si>
    <t>price</t>
  </si>
  <si>
    <t>annual return</t>
  </si>
  <si>
    <t>Jafar-Loka-01</t>
  </si>
  <si>
    <t>JLoka-01</t>
  </si>
  <si>
    <t>JLoka-02</t>
  </si>
  <si>
    <t>JLoka-03</t>
  </si>
  <si>
    <t>JLoka-04</t>
  </si>
  <si>
    <t>Jafar-Loka-02</t>
  </si>
  <si>
    <t>Jafar-Loka-03</t>
  </si>
  <si>
    <t>Jafar-Loka-04</t>
  </si>
  <si>
    <t>Jafar Loka's Stock Price History</t>
  </si>
  <si>
    <t>Date</t>
  </si>
  <si>
    <t>Adj Close</t>
  </si>
  <si>
    <t>Average Return</t>
  </si>
  <si>
    <t>Positive or Negative</t>
  </si>
  <si>
    <t>Volume Of Jafar Loka Shares Sold</t>
  </si>
  <si>
    <t>Sum</t>
  </si>
  <si>
    <t>Max</t>
  </si>
  <si>
    <t>Min</t>
  </si>
  <si>
    <t>Count</t>
  </si>
  <si>
    <t>CountIf</t>
  </si>
  <si>
    <t>ITEM</t>
  </si>
  <si>
    <t>PRICE</t>
  </si>
  <si>
    <t>Quantity</t>
  </si>
  <si>
    <t>Week 1</t>
  </si>
  <si>
    <t>Week 2</t>
  </si>
  <si>
    <t>REVENUE</t>
  </si>
  <si>
    <t>% of Revenue</t>
  </si>
  <si>
    <t>A</t>
  </si>
  <si>
    <t>B</t>
  </si>
  <si>
    <t>C</t>
  </si>
  <si>
    <t>D</t>
  </si>
  <si>
    <t>E</t>
  </si>
  <si>
    <t>TOTAL</t>
  </si>
  <si>
    <t>REGION</t>
  </si>
  <si>
    <t>PRODUCT</t>
  </si>
  <si>
    <t>SALES</t>
  </si>
  <si>
    <t>NORTH</t>
  </si>
  <si>
    <t>SOUTH</t>
  </si>
  <si>
    <t>EAST</t>
  </si>
  <si>
    <t>WEST</t>
  </si>
  <si>
    <t>PRODUCT A</t>
  </si>
  <si>
    <t>PRODUCT B</t>
  </si>
  <si>
    <t>Grand Total</t>
  </si>
  <si>
    <t>INVESTOR_ID</t>
  </si>
  <si>
    <t>INVESTOR_NAME</t>
  </si>
  <si>
    <t>COMPANY_NAME</t>
  </si>
  <si>
    <t>INVESTMENT AMOUNT (USD)</t>
  </si>
  <si>
    <t>INVESTMENT_DATE</t>
  </si>
  <si>
    <t>INV-001</t>
  </si>
  <si>
    <t>INV-002</t>
  </si>
  <si>
    <t>INV-003</t>
  </si>
  <si>
    <t>INV-004</t>
  </si>
  <si>
    <t>INV-005</t>
  </si>
  <si>
    <t>INV-006</t>
  </si>
  <si>
    <t>INV-007</t>
  </si>
  <si>
    <t>INV-008</t>
  </si>
  <si>
    <t>Jafar Loka-01</t>
  </si>
  <si>
    <t>Jafar Loka-02</t>
  </si>
  <si>
    <t>Jafar Loka-03</t>
  </si>
  <si>
    <t>Jafar Loka-04</t>
  </si>
  <si>
    <t>Jafar Loka-05</t>
  </si>
  <si>
    <t>Jafar Loka-06</t>
  </si>
  <si>
    <t>Jafar Loka-07</t>
  </si>
  <si>
    <t>Jafar Loka-08</t>
  </si>
  <si>
    <t>SUM Of Investment Amount</t>
  </si>
  <si>
    <t>JLoka Stock Returns</t>
  </si>
  <si>
    <t>Year</t>
  </si>
  <si>
    <t>Jloka-01</t>
  </si>
  <si>
    <t>Jloka-02</t>
  </si>
  <si>
    <t>Jloka-03</t>
  </si>
  <si>
    <t>Investment Type</t>
  </si>
  <si>
    <t>Portfolio Allocation</t>
  </si>
  <si>
    <t>Stocks</t>
  </si>
  <si>
    <t>Bonds</t>
  </si>
  <si>
    <t>Real Estate</t>
  </si>
  <si>
    <t>Cash</t>
  </si>
  <si>
    <t>Applicant</t>
  </si>
  <si>
    <t>Credit Score</t>
  </si>
  <si>
    <t>Loan Amount</t>
  </si>
  <si>
    <t>Employement Status</t>
  </si>
  <si>
    <t>Good Credit?</t>
  </si>
  <si>
    <t>Approved or Denied?</t>
  </si>
  <si>
    <t>A1</t>
  </si>
  <si>
    <t>A2</t>
  </si>
  <si>
    <t>A3</t>
  </si>
  <si>
    <t>A4</t>
  </si>
  <si>
    <t>A5</t>
  </si>
  <si>
    <t>A6</t>
  </si>
  <si>
    <t>Full-Time</t>
  </si>
  <si>
    <t>Part-Time</t>
  </si>
  <si>
    <t>UnEmployment</t>
  </si>
  <si>
    <t>Ticker</t>
  </si>
  <si>
    <t>Company</t>
  </si>
  <si>
    <t>Price</t>
  </si>
  <si>
    <t>Dividend</t>
  </si>
  <si>
    <t>Jloka-04</t>
  </si>
  <si>
    <t>Jloka-100</t>
  </si>
  <si>
    <t>Jloka-101</t>
  </si>
  <si>
    <t>Jloka-102</t>
  </si>
  <si>
    <t>Jloka-103</t>
  </si>
  <si>
    <t>Jloka-104</t>
  </si>
  <si>
    <t>Jloka-105</t>
  </si>
  <si>
    <t>Jloka-106</t>
  </si>
  <si>
    <t>Jloka-107</t>
  </si>
  <si>
    <t>Jloka-108</t>
  </si>
  <si>
    <t>Jloka-109</t>
  </si>
  <si>
    <t>Month</t>
  </si>
  <si>
    <t>Stock A</t>
  </si>
  <si>
    <t>Stock B</t>
  </si>
  <si>
    <t>Stock C</t>
  </si>
  <si>
    <t>Index X</t>
  </si>
  <si>
    <t>Index Y</t>
  </si>
  <si>
    <t>Security</t>
  </si>
  <si>
    <t>Row #</t>
  </si>
  <si>
    <t>Column #</t>
  </si>
  <si>
    <t>Stock Ticker</t>
  </si>
  <si>
    <t>Number Of Shares</t>
  </si>
  <si>
    <t>Price Per Share</t>
  </si>
  <si>
    <t>Total Value</t>
  </si>
  <si>
    <t>Jafar-Loka-05</t>
  </si>
  <si>
    <t>Jafar-Loka-06</t>
  </si>
  <si>
    <t>Jafar-Loka-07</t>
  </si>
  <si>
    <t>Jafar-Loka-08</t>
  </si>
  <si>
    <t>Jafar-Loka-09</t>
  </si>
  <si>
    <t>Jafar-Loka-10</t>
  </si>
  <si>
    <t>Jafar-Loka-11</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</si>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</sst>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_(&quot;$&quot;* #,##0_);_(&quot;$&quot;* \(#,##0\);_(&quot;$&quot;* &quot;-&quot;??_);_(@_)"/>
    <numFmt numFmtId="165" formatCode="[$-409]mmmm\ d\,\ yyyy;@"/>
    <numFmt numFmtId="166" formatCode="0.0%"/>
  </numFmts>
  <fonts count="6"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b/>
      <sz val="11"/>
      <color theme="5"/>
      <name val="Calibri"/>
      <family val="2"/>
      <scheme val="minor"/>
    </font>
    <font>
      <b/>
      <sz val="14"/>
      <color theme="1"/>
      <name val="Calibri"/>
      <family val="2"/>
      <scheme val="minor"/>
    </font>
  </fonts>
  <fills count="14">
    <fill>
      <patternFill patternType="none"/>
    </fill>
    <fill>
      <patternFill patternType="gray125"/>
    </fill>
    <fill>
      <patternFill patternType="solid">
        <fgColor theme="9" tint="0.39997558519241921"/>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2"/>
        <bgColor indexed="64"/>
      </patternFill>
    </fill>
    <fill>
      <patternFill patternType="solid">
        <fgColor theme="4" tint="0.59999389629810485"/>
        <bgColor indexed="64"/>
      </patternFill>
    </fill>
    <fill>
      <patternFill patternType="solid">
        <fgColor theme="3" tint="0.59999389629810485"/>
        <bgColor indexed="64"/>
      </patternFill>
    </fill>
    <fill>
      <patternFill patternType="solid">
        <fgColor theme="2" tint="-9.9978637043366805E-2"/>
        <bgColor indexed="64"/>
      </patternFill>
    </fill>
    <fill>
      <patternFill patternType="solid">
        <fgColor rgb="FFFF0000"/>
        <bgColor indexed="64"/>
      </patternFill>
    </fill>
    <fill>
      <patternFill patternType="solid">
        <fgColor theme="4" tint="0.39997558519241921"/>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theme="2"/>
      </right>
      <top style="thin">
        <color indexed="64"/>
      </top>
      <bottom style="thin">
        <color theme="2"/>
      </bottom>
      <diagonal/>
    </border>
    <border>
      <left style="thin">
        <color indexed="64"/>
      </left>
      <right/>
      <top style="thin">
        <color indexed="64"/>
      </top>
      <bottom/>
      <diagonal/>
    </border>
    <border>
      <left style="thin">
        <color indexed="64"/>
      </left>
      <right/>
      <top/>
      <bottom/>
      <diagonal/>
    </border>
    <border>
      <left style="thin">
        <color theme="1"/>
      </left>
      <right style="thin">
        <color theme="1"/>
      </right>
      <top style="thin">
        <color theme="1"/>
      </top>
      <bottom style="thin">
        <color theme="1"/>
      </bottom>
      <diagonal/>
    </border>
    <border>
      <left style="thin">
        <color theme="1"/>
      </left>
      <right style="thin">
        <color indexed="64"/>
      </right>
      <top style="thin">
        <color indexed="64"/>
      </top>
      <bottom style="thin">
        <color theme="2"/>
      </bottom>
      <diagonal/>
    </border>
    <border>
      <left style="thin">
        <color indexed="64"/>
      </left>
      <right/>
      <top style="thin">
        <color indexed="64"/>
      </top>
      <bottom style="thin">
        <color theme="2"/>
      </bottom>
      <diagonal/>
    </border>
    <border>
      <left style="thin">
        <color indexed="64"/>
      </left>
      <right style="thin">
        <color theme="1"/>
      </right>
      <top style="thin">
        <color indexed="64"/>
      </top>
      <bottom style="thin">
        <color indexed="64"/>
      </bottom>
      <diagonal/>
    </border>
    <border>
      <left/>
      <right style="thin">
        <color theme="1"/>
      </right>
      <top style="thin">
        <color theme="1"/>
      </top>
      <bottom/>
      <diagonal/>
    </border>
    <border>
      <left/>
      <right style="thin">
        <color theme="1"/>
      </right>
      <top/>
      <bottom/>
      <diagonal/>
    </border>
    <border>
      <left/>
      <right style="thin">
        <color theme="1"/>
      </right>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94">
    <xf numFmtId="0" fontId="0" fillId="0" borderId="0" xfId="0"/>
    <xf numFmtId="14" fontId="0" fillId="0" borderId="0" xfId="0" applyNumberFormat="1"/>
    <xf numFmtId="44" fontId="0" fillId="0" borderId="0" xfId="1" applyFont="1"/>
    <xf numFmtId="10" fontId="0" fillId="0" borderId="0" xfId="2" applyNumberFormat="1" applyFont="1"/>
    <xf numFmtId="0" fontId="0" fillId="3" borderId="1" xfId="0" applyFill="1" applyBorder="1"/>
    <xf numFmtId="44" fontId="0" fillId="3" borderId="1" xfId="1" applyFont="1" applyFill="1" applyBorder="1"/>
    <xf numFmtId="10" fontId="0" fillId="3" borderId="1" xfId="2" applyNumberFormat="1" applyFont="1" applyFill="1" applyBorder="1"/>
    <xf numFmtId="0" fontId="2" fillId="2" borderId="1" xfId="0" applyFont="1" applyFill="1" applyBorder="1"/>
    <xf numFmtId="44" fontId="2" fillId="2" borderId="1" xfId="1" applyFont="1" applyFill="1" applyBorder="1"/>
    <xf numFmtId="10" fontId="2" fillId="2" borderId="1" xfId="2" applyNumberFormat="1" applyFont="1" applyFill="1" applyBorder="1"/>
    <xf numFmtId="10" fontId="0" fillId="0" borderId="1" xfId="0" applyNumberFormat="1" applyBorder="1" applyAlignment="1">
      <alignment horizontal="center"/>
    </xf>
    <xf numFmtId="0" fontId="2" fillId="5" borderId="1" xfId="0" applyFont="1" applyFill="1" applyBorder="1" applyAlignment="1">
      <alignment horizontal="center"/>
    </xf>
    <xf numFmtId="0" fontId="0" fillId="0" borderId="1" xfId="0" applyBorder="1"/>
    <xf numFmtId="0" fontId="4" fillId="6" borderId="1" xfId="0" applyFont="1" applyFill="1" applyBorder="1"/>
    <xf numFmtId="14" fontId="0" fillId="5" borderId="1" xfId="0" applyNumberFormat="1" applyFill="1" applyBorder="1"/>
    <xf numFmtId="164" fontId="0" fillId="5" borderId="1" xfId="1" applyNumberFormat="1" applyFont="1" applyFill="1" applyBorder="1"/>
    <xf numFmtId="0" fontId="4" fillId="6" borderId="2" xfId="0" applyFont="1" applyFill="1" applyBorder="1"/>
    <xf numFmtId="0" fontId="0" fillId="7" borderId="0" xfId="0" applyFill="1"/>
    <xf numFmtId="0" fontId="4" fillId="7" borderId="0" xfId="0" applyFont="1" applyFill="1"/>
    <xf numFmtId="0" fontId="0" fillId="8" borderId="1" xfId="0" applyFill="1" applyBorder="1"/>
    <xf numFmtId="164" fontId="0" fillId="8" borderId="1" xfId="0" applyNumberFormat="1" applyFill="1" applyBorder="1"/>
    <xf numFmtId="0" fontId="0" fillId="9" borderId="1" xfId="0" applyFill="1" applyBorder="1"/>
    <xf numFmtId="44" fontId="0" fillId="0" borderId="4" xfId="0" applyNumberFormat="1" applyBorder="1"/>
    <xf numFmtId="0" fontId="0" fillId="0" borderId="6" xfId="0" applyBorder="1"/>
    <xf numFmtId="0" fontId="0" fillId="0" borderId="7" xfId="0" applyBorder="1"/>
    <xf numFmtId="44" fontId="0" fillId="0" borderId="9" xfId="0" applyNumberFormat="1" applyBorder="1"/>
    <xf numFmtId="44" fontId="0" fillId="0" borderId="10" xfId="0" applyNumberFormat="1" applyBorder="1"/>
    <xf numFmtId="44" fontId="0" fillId="0" borderId="7" xfId="0" applyNumberFormat="1" applyBorder="1"/>
    <xf numFmtId="10" fontId="0" fillId="0" borderId="8" xfId="2" applyNumberFormat="1" applyFont="1" applyBorder="1" applyAlignment="1">
      <alignment horizontal="left" indent="9"/>
    </xf>
    <xf numFmtId="0" fontId="2" fillId="9" borderId="7" xfId="0" applyFont="1" applyFill="1" applyBorder="1" applyAlignment="1">
      <alignment horizontal="center"/>
    </xf>
    <xf numFmtId="0" fontId="2" fillId="9" borderId="7" xfId="0" applyFont="1" applyFill="1" applyBorder="1"/>
    <xf numFmtId="44" fontId="0" fillId="0" borderId="11" xfId="1" applyFont="1" applyBorder="1"/>
    <xf numFmtId="44" fontId="0" fillId="0" borderId="13" xfId="1" applyFont="1" applyBorder="1"/>
    <xf numFmtId="44" fontId="0" fillId="9" borderId="7" xfId="0" applyNumberFormat="1" applyFill="1" applyBorder="1"/>
    <xf numFmtId="44" fontId="0" fillId="0" borderId="14" xfId="1" applyFont="1" applyBorder="1"/>
    <xf numFmtId="0" fontId="2" fillId="2" borderId="7" xfId="0" applyFont="1" applyFill="1" applyBorder="1"/>
    <xf numFmtId="44" fontId="2" fillId="2" borderId="7" xfId="1" applyFont="1" applyFill="1" applyBorder="1"/>
    <xf numFmtId="0" fontId="0" fillId="10" borderId="15" xfId="0" applyFill="1" applyBorder="1"/>
    <xf numFmtId="0" fontId="0" fillId="10" borderId="7" xfId="0" applyFill="1" applyBorder="1"/>
    <xf numFmtId="0" fontId="0" fillId="11" borderId="7" xfId="0" applyFill="1" applyBorder="1"/>
    <xf numFmtId="0" fontId="0" fillId="11" borderId="16" xfId="0" applyFill="1" applyBorder="1"/>
    <xf numFmtId="0" fontId="0" fillId="12" borderId="15" xfId="0" applyFill="1" applyBorder="1"/>
    <xf numFmtId="0" fontId="0" fillId="12" borderId="7" xfId="0" applyFill="1" applyBorder="1"/>
    <xf numFmtId="0" fontId="0" fillId="6" borderId="7" xfId="0" applyFill="1" applyBorder="1"/>
    <xf numFmtId="0" fontId="0" fillId="6" borderId="16" xfId="0" applyFill="1" applyBorder="1"/>
    <xf numFmtId="0" fontId="0" fillId="0" borderId="0" xfId="0" applyAlignment="1">
      <alignment vertical="top"/>
    </xf>
    <xf numFmtId="0" fontId="0" fillId="4" borderId="17" xfId="0" applyFill="1" applyBorder="1" applyAlignment="1">
      <alignment vertical="center" wrapText="1"/>
    </xf>
    <xf numFmtId="0" fontId="0" fillId="4" borderId="17" xfId="0" applyFill="1" applyBorder="1" applyAlignment="1">
      <alignment vertical="center"/>
    </xf>
    <xf numFmtId="0" fontId="0" fillId="4" borderId="17" xfId="0" applyFill="1" applyBorder="1" applyAlignment="1">
      <alignment horizontal="center" vertical="center" wrapText="1"/>
    </xf>
    <xf numFmtId="0" fontId="0" fillId="4" borderId="12" xfId="0" applyFill="1" applyBorder="1" applyAlignment="1">
      <alignment vertical="center"/>
    </xf>
    <xf numFmtId="0" fontId="0" fillId="0" borderId="1" xfId="0" applyBorder="1" applyAlignment="1">
      <alignment vertical="top"/>
    </xf>
    <xf numFmtId="44" fontId="0" fillId="0" borderId="1" xfId="1" applyFont="1" applyBorder="1" applyAlignment="1">
      <alignment vertical="top"/>
    </xf>
    <xf numFmtId="165" fontId="0" fillId="0" borderId="1" xfId="0" applyNumberFormat="1" applyBorder="1" applyAlignment="1">
      <alignment vertical="top"/>
    </xf>
    <xf numFmtId="0" fontId="0" fillId="0" borderId="2" xfId="0" applyBorder="1" applyAlignment="1">
      <alignment vertical="top"/>
    </xf>
    <xf numFmtId="44" fontId="0" fillId="0" borderId="2" xfId="1" applyFont="1" applyBorder="1" applyAlignment="1">
      <alignment vertical="top"/>
    </xf>
    <xf numFmtId="165" fontId="0" fillId="0" borderId="2" xfId="0" applyNumberFormat="1" applyBorder="1" applyAlignment="1">
      <alignment vertical="top"/>
    </xf>
    <xf numFmtId="44" fontId="0" fillId="0" borderId="0" xfId="0" applyNumberFormat="1" applyAlignment="1">
      <alignment vertical="top"/>
    </xf>
    <xf numFmtId="0" fontId="0" fillId="0" borderId="0" xfId="0" applyAlignment="1">
      <alignment horizontal="center"/>
    </xf>
    <xf numFmtId="166" fontId="0" fillId="0" borderId="0" xfId="2" applyNumberFormat="1" applyFont="1"/>
    <xf numFmtId="164" fontId="0" fillId="0" borderId="0" xfId="1" applyNumberFormat="1" applyFont="1" applyAlignment="1">
      <alignment horizontal="right"/>
    </xf>
    <xf numFmtId="44" fontId="0" fillId="0" borderId="0" xfId="1" applyFont="1" applyAlignment="1">
      <alignment horizontal="center"/>
    </xf>
    <xf numFmtId="0" fontId="0" fillId="0" borderId="1" xfId="0" applyBorder="1" applyAlignment="1">
      <alignment horizontal="center"/>
    </xf>
    <xf numFmtId="44" fontId="0" fillId="0" borderId="1" xfId="1" applyFont="1" applyBorder="1" applyAlignment="1">
      <alignment horizontal="center"/>
    </xf>
    <xf numFmtId="0" fontId="0" fillId="2" borderId="1" xfId="0" applyFill="1" applyBorder="1" applyAlignment="1">
      <alignment horizontal="center"/>
    </xf>
    <xf numFmtId="0" fontId="0" fillId="13" borderId="1" xfId="0" applyFill="1" applyBorder="1" applyAlignment="1">
      <alignment horizontal="center"/>
    </xf>
    <xf numFmtId="16" fontId="0" fillId="0" borderId="1" xfId="0" applyNumberFormat="1" applyBorder="1" applyAlignment="1">
      <alignment horizontal="center"/>
    </xf>
    <xf numFmtId="0" fontId="0" fillId="9" borderId="5" xfId="0" applyFill="1" applyBorder="1"/>
    <xf numFmtId="0" fontId="0" fillId="9" borderId="18" xfId="0" applyFill="1" applyBorder="1"/>
    <xf numFmtId="0" fontId="0" fillId="9" borderId="19" xfId="0" applyFill="1" applyBorder="1"/>
    <xf numFmtId="44" fontId="0" fillId="0" borderId="0" xfId="1" applyFont="1" applyBorder="1"/>
    <xf numFmtId="0" fontId="0" fillId="0" borderId="21" xfId="0" applyBorder="1"/>
    <xf numFmtId="0" fontId="0" fillId="0" borderId="22" xfId="0" applyBorder="1"/>
    <xf numFmtId="44" fontId="0" fillId="0" borderId="22" xfId="1" applyFont="1" applyBorder="1"/>
    <xf numFmtId="0" fontId="0" fillId="0" borderId="3" xfId="0" applyBorder="1"/>
    <xf numFmtId="0" fontId="0" fillId="0" borderId="24" xfId="0" applyBorder="1"/>
    <xf numFmtId="44" fontId="0" fillId="0" borderId="20" xfId="0" applyNumberFormat="1" applyBorder="1"/>
    <xf numFmtId="44" fontId="0" fillId="0" borderId="20" xfId="1" applyFont="1" applyBorder="1"/>
    <xf numFmtId="44" fontId="0" fillId="0" borderId="23" xfId="1" applyFont="1" applyBorder="1"/>
    <xf numFmtId="44" fontId="0" fillId="0" borderId="25" xfId="0" applyNumberFormat="1" applyBorder="1"/>
    <xf numFmtId="0" fontId="0" fillId="0" borderId="21" xfId="0" applyBorder="1" applyAlignment="1">
      <alignment horizontal="center" vertical="center"/>
    </xf>
    <xf numFmtId="0" fontId="0" fillId="0" borderId="16" xfId="0" applyBorder="1"/>
    <xf numFmtId="0" fontId="0" fillId="0" borderId="1" xfId="0" applyBorder="1" applyAlignment="1">
      <alignment horizontal="center" vertical="center"/>
    </xf>
    <xf numFmtId="44" fontId="0" fillId="0" borderId="1" xfId="1" applyFont="1" applyBorder="1"/>
    <xf numFmtId="0" fontId="2" fillId="4" borderId="1" xfId="0" applyFont="1" applyFill="1" applyBorder="1" applyAlignment="1">
      <alignment horizontal="center"/>
    </xf>
    <xf numFmtId="14" fontId="0" fillId="0" borderId="1" xfId="0" applyNumberFormat="1" applyBorder="1" applyAlignment="1">
      <alignment horizontal="center"/>
    </xf>
    <xf numFmtId="0" fontId="0" fillId="0" borderId="1" xfId="0" applyBorder="1" applyAlignment="1">
      <alignment horizontal="center"/>
    </xf>
    <xf numFmtId="44" fontId="0" fillId="0" borderId="1" xfId="1" applyFont="1" applyBorder="1" applyAlignment="1">
      <alignment horizontal="center"/>
    </xf>
    <xf numFmtId="10" fontId="0" fillId="0" borderId="1" xfId="2" applyNumberFormat="1" applyFont="1" applyBorder="1" applyAlignment="1">
      <alignment horizontal="center"/>
    </xf>
    <xf numFmtId="0" fontId="2" fillId="2" borderId="1" xfId="0" applyFont="1" applyFill="1" applyBorder="1" applyAlignment="1">
      <alignment horizontal="center"/>
    </xf>
    <xf numFmtId="0" fontId="0" fillId="9" borderId="1" xfId="0" applyFill="1" applyBorder="1" applyAlignment="1">
      <alignment horizontal="center" vertical="center"/>
    </xf>
    <xf numFmtId="0" fontId="0" fillId="9" borderId="1" xfId="0" applyFill="1" applyBorder="1" applyAlignment="1">
      <alignment horizontal="center"/>
    </xf>
    <xf numFmtId="0" fontId="0" fillId="9" borderId="7" xfId="0" applyFill="1" applyBorder="1" applyAlignment="1">
      <alignment horizontal="center"/>
    </xf>
    <xf numFmtId="0" fontId="0" fillId="0" borderId="0" xfId="0" applyAlignment="1">
      <alignment horizontal="center" vertical="top"/>
    </xf>
    <xf numFmtId="0" fontId="5" fillId="6" borderId="1" xfId="0" applyFont="1" applyFill="1" applyBorder="1" applyAlignment="1">
      <alignment horizontal="center"/>
    </xf>
  </cellXfs>
  <cellStyles count="3">
    <cellStyle name="Currency" xfId="1" builtinId="4"/>
    <cellStyle name="Normal" xfId="0" builtinId="0"/>
    <cellStyle name="Percent" xfId="2" builtinId="5"/>
  </cellStyles>
  <dxfs count="35">
    <dxf>
      <font>
        <color rgb="FF9C0006"/>
      </font>
    </dxf>
    <dxf>
      <fill>
        <patternFill>
          <bgColor theme="4" tint="0.39994506668294322"/>
        </patternFill>
      </fill>
    </dxf>
    <dxf>
      <fill>
        <patternFill>
          <bgColor theme="9" tint="0.39994506668294322"/>
        </patternFill>
      </fill>
    </dxf>
    <dxf>
      <font>
        <b val="0"/>
        <i val="0"/>
        <strike val="0"/>
        <condense val="0"/>
        <extend val="0"/>
        <outline val="0"/>
        <shadow val="0"/>
        <u val="none"/>
        <vertAlign val="baseline"/>
        <sz val="11"/>
        <color theme="1"/>
        <name val="Calibri"/>
        <family val="2"/>
        <scheme val="minor"/>
      </font>
      <numFmt numFmtId="34" formatCode="_(&quot;$&quot;* #,##0.00_);_(&quot;$&quot;* \(#,##0.00\);_(&quot;$&quot;*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_(&quot;$&quot;* #,##0_);_(&quot;$&quot;* \(#,##0\);_(&quot;$&quot;* &quot;-&quot;??_);_(@_)"/>
      <alignment horizontal="righ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6" formatCode="0.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dxf>
    <dxf>
      <alignment horizontal="center" vertical="bottom" textRotation="0" wrapText="0" indent="0" justifyLastLine="0" shrinkToFit="0" readingOrder="0"/>
    </dxf>
    <dxf>
      <numFmt numFmtId="165" formatCode="[$-409]mmmm\ d\,\ yyyy;@"/>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alignment horizontal="general" vertical="top" textRotation="0" wrapText="0" indent="0" justifyLastLine="0" shrinkToFit="0" readingOrder="0"/>
    </dxf>
  </dxfs>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JLoka</a:t>
            </a:r>
            <a:r>
              <a:rPr lang="en-US" baseline="0"/>
              <a:t> Sock Returns</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Sheet8!$B$4:$B$14</c15:sqref>
                  </c15:fullRef>
                </c:ext>
              </c:extLst>
              <c:f>Sheet8!$B$6:$B$14</c:f>
              <c:numCache>
                <c:formatCode>General</c:formatCode>
                <c:ptCount val="9"/>
                <c:pt idx="0">
                  <c:v>2013</c:v>
                </c:pt>
                <c:pt idx="1">
                  <c:v>2014</c:v>
                </c:pt>
                <c:pt idx="2">
                  <c:v>2015</c:v>
                </c:pt>
                <c:pt idx="3">
                  <c:v>2016</c:v>
                </c:pt>
                <c:pt idx="4">
                  <c:v>2017</c:v>
                </c:pt>
                <c:pt idx="5">
                  <c:v>2018</c:v>
                </c:pt>
                <c:pt idx="6">
                  <c:v>2019</c:v>
                </c:pt>
                <c:pt idx="7">
                  <c:v>2020</c:v>
                </c:pt>
                <c:pt idx="8">
                  <c:v>2021</c:v>
                </c:pt>
              </c:numCache>
            </c:numRef>
          </c:cat>
          <c:val>
            <c:numRef>
              <c:extLst>
                <c:ext xmlns:c15="http://schemas.microsoft.com/office/drawing/2012/chart" uri="{02D57815-91ED-43cb-92C2-25804820EDAC}">
                  <c15:fullRef>
                    <c15:sqref>Sheet8!$C$4:$C$14</c15:sqref>
                  </c15:fullRef>
                </c:ext>
              </c:extLst>
              <c:f>Sheet8!$C$6:$C$14</c:f>
              <c:numCache>
                <c:formatCode>0.00%</c:formatCode>
                <c:ptCount val="9"/>
                <c:pt idx="0">
                  <c:v>8.6915784118192341E-2</c:v>
                </c:pt>
                <c:pt idx="1">
                  <c:v>0.11100161243085194</c:v>
                </c:pt>
                <c:pt idx="2">
                  <c:v>0.66699718988218426</c:v>
                </c:pt>
                <c:pt idx="3">
                  <c:v>0.24966708871427501</c:v>
                </c:pt>
                <c:pt idx="4">
                  <c:v>0.87754600403962557</c:v>
                </c:pt>
                <c:pt idx="5">
                  <c:v>0.73911835572370288</c:v>
                </c:pt>
                <c:pt idx="6">
                  <c:v>0.85505503648803938</c:v>
                </c:pt>
                <c:pt idx="7">
                  <c:v>0.91854943503885156</c:v>
                </c:pt>
                <c:pt idx="8">
                  <c:v>0.53303090978041279</c:v>
                </c:pt>
              </c:numCache>
            </c:numRef>
          </c:val>
          <c:smooth val="0"/>
          <c:extLst>
            <c:ext xmlns:c16="http://schemas.microsoft.com/office/drawing/2014/chart" uri="{C3380CC4-5D6E-409C-BE32-E72D297353CC}">
              <c16:uniqueId val="{00000000-DCD0-4F92-BB1E-6308041B97FE}"/>
            </c:ext>
          </c:extLst>
        </c:ser>
        <c:ser>
          <c:idx val="1"/>
          <c:order val="1"/>
          <c:spPr>
            <a:ln w="28575" cap="rnd">
              <a:solidFill>
                <a:schemeClr val="accent2"/>
              </a:solidFill>
              <a:round/>
            </a:ln>
            <a:effectLst/>
          </c:spPr>
          <c:marker>
            <c:symbol val="none"/>
          </c:marker>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Sheet8!$B$4:$B$14</c15:sqref>
                  </c15:fullRef>
                </c:ext>
              </c:extLst>
              <c:f>Sheet8!$B$6:$B$14</c:f>
              <c:numCache>
                <c:formatCode>General</c:formatCode>
                <c:ptCount val="9"/>
                <c:pt idx="0">
                  <c:v>2013</c:v>
                </c:pt>
                <c:pt idx="1">
                  <c:v>2014</c:v>
                </c:pt>
                <c:pt idx="2">
                  <c:v>2015</c:v>
                </c:pt>
                <c:pt idx="3">
                  <c:v>2016</c:v>
                </c:pt>
                <c:pt idx="4">
                  <c:v>2017</c:v>
                </c:pt>
                <c:pt idx="5">
                  <c:v>2018</c:v>
                </c:pt>
                <c:pt idx="6">
                  <c:v>2019</c:v>
                </c:pt>
                <c:pt idx="7">
                  <c:v>2020</c:v>
                </c:pt>
                <c:pt idx="8">
                  <c:v>2021</c:v>
                </c:pt>
              </c:numCache>
            </c:numRef>
          </c:cat>
          <c:val>
            <c:numRef>
              <c:extLst>
                <c:ext xmlns:c15="http://schemas.microsoft.com/office/drawing/2012/chart" uri="{02D57815-91ED-43cb-92C2-25804820EDAC}">
                  <c15:fullRef>
                    <c15:sqref>Sheet8!$D$4:$D$14</c15:sqref>
                  </c15:fullRef>
                </c:ext>
              </c:extLst>
              <c:f>Sheet8!$D$6:$D$14</c:f>
              <c:numCache>
                <c:formatCode>0.00%</c:formatCode>
                <c:ptCount val="9"/>
                <c:pt idx="0">
                  <c:v>0.995673661150418</c:v>
                </c:pt>
                <c:pt idx="1">
                  <c:v>0.73304382628663689</c:v>
                </c:pt>
                <c:pt idx="2">
                  <c:v>0.97227422532088059</c:v>
                </c:pt>
                <c:pt idx="3">
                  <c:v>0.94142684597969861</c:v>
                </c:pt>
                <c:pt idx="4">
                  <c:v>0.21421877494508046</c:v>
                </c:pt>
                <c:pt idx="5">
                  <c:v>0.60395122269160229</c:v>
                </c:pt>
                <c:pt idx="6">
                  <c:v>9.4180672280433919E-3</c:v>
                </c:pt>
                <c:pt idx="7">
                  <c:v>0.49813295330831853</c:v>
                </c:pt>
                <c:pt idx="8">
                  <c:v>0.65868576205753238</c:v>
                </c:pt>
              </c:numCache>
            </c:numRef>
          </c:val>
          <c:smooth val="0"/>
          <c:extLst>
            <c:ext xmlns:c16="http://schemas.microsoft.com/office/drawing/2014/chart" uri="{C3380CC4-5D6E-409C-BE32-E72D297353CC}">
              <c16:uniqueId val="{00000001-DCD0-4F92-BB1E-6308041B97FE}"/>
            </c:ext>
          </c:extLst>
        </c:ser>
        <c:ser>
          <c:idx val="2"/>
          <c:order val="2"/>
          <c:spPr>
            <a:ln w="28575" cap="rnd">
              <a:solidFill>
                <a:schemeClr val="accent3"/>
              </a:solidFill>
              <a:round/>
            </a:ln>
            <a:effectLst/>
          </c:spPr>
          <c:marker>
            <c:symbol val="none"/>
          </c:marker>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Sheet8!$B$4:$B$14</c15:sqref>
                  </c15:fullRef>
                </c:ext>
              </c:extLst>
              <c:f>Sheet8!$B$6:$B$14</c:f>
              <c:numCache>
                <c:formatCode>General</c:formatCode>
                <c:ptCount val="9"/>
                <c:pt idx="0">
                  <c:v>2013</c:v>
                </c:pt>
                <c:pt idx="1">
                  <c:v>2014</c:v>
                </c:pt>
                <c:pt idx="2">
                  <c:v>2015</c:v>
                </c:pt>
                <c:pt idx="3">
                  <c:v>2016</c:v>
                </c:pt>
                <c:pt idx="4">
                  <c:v>2017</c:v>
                </c:pt>
                <c:pt idx="5">
                  <c:v>2018</c:v>
                </c:pt>
                <c:pt idx="6">
                  <c:v>2019</c:v>
                </c:pt>
                <c:pt idx="7">
                  <c:v>2020</c:v>
                </c:pt>
                <c:pt idx="8">
                  <c:v>2021</c:v>
                </c:pt>
              </c:numCache>
            </c:numRef>
          </c:cat>
          <c:val>
            <c:numRef>
              <c:extLst>
                <c:ext xmlns:c15="http://schemas.microsoft.com/office/drawing/2012/chart" uri="{02D57815-91ED-43cb-92C2-25804820EDAC}">
                  <c15:fullRef>
                    <c15:sqref>Sheet8!$E$4:$E$14</c15:sqref>
                  </c15:fullRef>
                </c:ext>
              </c:extLst>
              <c:f>Sheet8!$E$6:$E$14</c:f>
              <c:numCache>
                <c:formatCode>0.00%</c:formatCode>
                <c:ptCount val="9"/>
                <c:pt idx="0">
                  <c:v>0.52662624457069562</c:v>
                </c:pt>
                <c:pt idx="1">
                  <c:v>0.85318437891805488</c:v>
                </c:pt>
                <c:pt idx="2">
                  <c:v>0.32314197933022382</c:v>
                </c:pt>
                <c:pt idx="3">
                  <c:v>0.32787160268776661</c:v>
                </c:pt>
                <c:pt idx="4">
                  <c:v>0.83752860892351155</c:v>
                </c:pt>
                <c:pt idx="5">
                  <c:v>0.48903074525455303</c:v>
                </c:pt>
                <c:pt idx="6">
                  <c:v>0.77870766035609584</c:v>
                </c:pt>
                <c:pt idx="7">
                  <c:v>0.4116528241380023</c:v>
                </c:pt>
                <c:pt idx="8">
                  <c:v>0.64940899731822843</c:v>
                </c:pt>
              </c:numCache>
            </c:numRef>
          </c:val>
          <c:smooth val="0"/>
          <c:extLst>
            <c:ext xmlns:c16="http://schemas.microsoft.com/office/drawing/2014/chart" uri="{C3380CC4-5D6E-409C-BE32-E72D297353CC}">
              <c16:uniqueId val="{00000002-DCD0-4F92-BB1E-6308041B97FE}"/>
            </c:ext>
          </c:extLst>
        </c:ser>
        <c:dLbls>
          <c:dLblPos val="l"/>
          <c:showLegendKey val="0"/>
          <c:showVal val="1"/>
          <c:showCatName val="0"/>
          <c:showSerName val="0"/>
          <c:showPercent val="0"/>
          <c:showBubbleSize val="0"/>
        </c:dLbls>
        <c:smooth val="0"/>
        <c:axId val="1180860607"/>
        <c:axId val="1180858207"/>
      </c:lineChart>
      <c:catAx>
        <c:axId val="1180860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80858207"/>
        <c:crosses val="autoZero"/>
        <c:auto val="1"/>
        <c:lblAlgn val="ctr"/>
        <c:lblOffset val="100"/>
        <c:noMultiLvlLbl val="0"/>
      </c:catAx>
      <c:valAx>
        <c:axId val="11808582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80860607"/>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1" i="0" u="none" strike="noStrike" kern="1200" baseline="0">
                <a:solidFill>
                  <a:schemeClr val="tx2"/>
                </a:solidFill>
                <a:latin typeface="+mn-lt"/>
                <a:ea typeface="+mn-ea"/>
                <a:cs typeface="+mn-cs"/>
              </a:defRPr>
            </a:pPr>
            <a:r>
              <a:rPr lang="en-US"/>
              <a:t>The Potfolio Allocation</a:t>
            </a:r>
          </a:p>
        </c:rich>
      </c:tx>
      <c:overlay val="0"/>
      <c:spPr>
        <a:noFill/>
        <a:ln>
          <a:noFill/>
        </a:ln>
        <a:effectLst/>
      </c:spPr>
      <c:txPr>
        <a:bodyPr rot="0" spcFirstLastPara="1" vertOverflow="ellipsis" vert="horz" wrap="square" anchor="ctr" anchorCtr="1"/>
        <a:lstStyle/>
        <a:p>
          <a:pPr>
            <a:defRPr sz="1440" b="1" i="0" u="none" strike="noStrike" kern="1200" baseline="0">
              <a:solidFill>
                <a:schemeClr val="tx2"/>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45A3-40A4-989A-7A690D2C05E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45A3-40A4-989A-7A690D2C05E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45A3-40A4-989A-7A690D2C05E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7-45A3-40A4-989A-7A690D2C05E7}"/>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Sheet9!$B$3:$B$6</c:f>
              <c:strCache>
                <c:ptCount val="4"/>
                <c:pt idx="0">
                  <c:v>Stocks</c:v>
                </c:pt>
                <c:pt idx="1">
                  <c:v>Bonds</c:v>
                </c:pt>
                <c:pt idx="2">
                  <c:v>Real Estate</c:v>
                </c:pt>
                <c:pt idx="3">
                  <c:v>Cash</c:v>
                </c:pt>
              </c:strCache>
            </c:strRef>
          </c:cat>
          <c:val>
            <c:numRef>
              <c:f>Sheet9!$C$3:$C$6</c:f>
              <c:numCache>
                <c:formatCode>0.0%</c:formatCode>
                <c:ptCount val="4"/>
                <c:pt idx="0">
                  <c:v>0.60699999999999998</c:v>
                </c:pt>
                <c:pt idx="1">
                  <c:v>0.29299999999999998</c:v>
                </c:pt>
                <c:pt idx="2">
                  <c:v>6.5000000000000002E-2</c:v>
                </c:pt>
                <c:pt idx="3">
                  <c:v>3.5000000000000003E-2</c:v>
                </c:pt>
              </c:numCache>
            </c:numRef>
          </c:val>
          <c:extLst>
            <c:ext xmlns:c16="http://schemas.microsoft.com/office/drawing/2014/chart" uri="{C3380CC4-5D6E-409C-BE32-E72D297353CC}">
              <c16:uniqueId val="{00000000-00FD-4EB6-A61E-FA78A920F0AB}"/>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sz="1200" b="1"/>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absolute">
    <xdr:from>
      <xdr:col>10</xdr:col>
      <xdr:colOff>400050</xdr:colOff>
      <xdr:row>0</xdr:row>
      <xdr:rowOff>66675</xdr:rowOff>
    </xdr:from>
    <xdr:to>
      <xdr:col>13</xdr:col>
      <xdr:colOff>400050</xdr:colOff>
      <xdr:row>12</xdr:row>
      <xdr:rowOff>114300</xdr:rowOff>
    </xdr:to>
    <mc:AlternateContent xmlns:mc="http://schemas.openxmlformats.org/markup-compatibility/2006" xmlns:sle15="http://schemas.microsoft.com/office/drawing/2012/slicer">
      <mc:Choice Requires="sle15">
        <xdr:graphicFrame macro="">
          <xdr:nvGraphicFramePr>
            <xdr:cNvPr id="2" name="COMPANY_NAME">
              <a:extLst>
                <a:ext uri="{FF2B5EF4-FFF2-40B4-BE49-F238E27FC236}">
                  <a16:creationId xmlns:a16="http://schemas.microsoft.com/office/drawing/2014/main" id="{667605D0-8334-FF95-FC58-ECB955FC2ED6}"/>
                </a:ext>
              </a:extLst>
            </xdr:cNvPr>
            <xdr:cNvGraphicFramePr/>
          </xdr:nvGraphicFramePr>
          <xdr:xfrm>
            <a:off x="0" y="0"/>
            <a:ext cx="0" cy="0"/>
          </xdr:xfrm>
          <a:graphic>
            <a:graphicData uri="http://schemas.microsoft.com/office/drawing/2010/slicer">
              <sle:slicer xmlns:sle="http://schemas.microsoft.com/office/drawing/2010/slicer" name="COMPANY_NAME"/>
            </a:graphicData>
          </a:graphic>
        </xdr:graphicFrame>
      </mc:Choice>
      <mc:Fallback xmlns="">
        <xdr:sp macro="" textlink="">
          <xdr:nvSpPr>
            <xdr:cNvPr id="0" name=""/>
            <xdr:cNvSpPr>
              <a:spLocks noTextEdit="1"/>
            </xdr:cNvSpPr>
          </xdr:nvSpPr>
          <xdr:spPr>
            <a:xfrm>
              <a:off x="10277475" y="666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238125</xdr:colOff>
      <xdr:row>0</xdr:row>
      <xdr:rowOff>76200</xdr:rowOff>
    </xdr:from>
    <xdr:to>
      <xdr:col>10</xdr:col>
      <xdr:colOff>238125</xdr:colOff>
      <xdr:row>12</xdr:row>
      <xdr:rowOff>123825</xdr:rowOff>
    </xdr:to>
    <mc:AlternateContent xmlns:mc="http://schemas.openxmlformats.org/markup-compatibility/2006" xmlns:sle15="http://schemas.microsoft.com/office/drawing/2012/slicer">
      <mc:Choice Requires="sle15">
        <xdr:graphicFrame macro="">
          <xdr:nvGraphicFramePr>
            <xdr:cNvPr id="3" name="INVESTMENT AMOUNT (USD)">
              <a:extLst>
                <a:ext uri="{FF2B5EF4-FFF2-40B4-BE49-F238E27FC236}">
                  <a16:creationId xmlns:a16="http://schemas.microsoft.com/office/drawing/2014/main" id="{34C2D707-DCB3-41FC-EB4C-25614133E04E}"/>
                </a:ext>
              </a:extLst>
            </xdr:cNvPr>
            <xdr:cNvGraphicFramePr/>
          </xdr:nvGraphicFramePr>
          <xdr:xfrm>
            <a:off x="0" y="0"/>
            <a:ext cx="0" cy="0"/>
          </xdr:xfrm>
          <a:graphic>
            <a:graphicData uri="http://schemas.microsoft.com/office/drawing/2010/slicer">
              <sle:slicer xmlns:sle="http://schemas.microsoft.com/office/drawing/2010/slicer" name="INVESTMENT AMOUNT (USD)"/>
            </a:graphicData>
          </a:graphic>
        </xdr:graphicFrame>
      </mc:Choice>
      <mc:Fallback xmlns="">
        <xdr:sp macro="" textlink="">
          <xdr:nvSpPr>
            <xdr:cNvPr id="0" name=""/>
            <xdr:cNvSpPr>
              <a:spLocks noTextEdit="1"/>
            </xdr:cNvSpPr>
          </xdr:nvSpPr>
          <xdr:spPr>
            <a:xfrm>
              <a:off x="8286750" y="76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190499</xdr:colOff>
      <xdr:row>0</xdr:row>
      <xdr:rowOff>185736</xdr:rowOff>
    </xdr:from>
    <xdr:to>
      <xdr:col>18</xdr:col>
      <xdr:colOff>447674</xdr:colOff>
      <xdr:row>20</xdr:row>
      <xdr:rowOff>123824</xdr:rowOff>
    </xdr:to>
    <xdr:graphicFrame macro="">
      <xdr:nvGraphicFramePr>
        <xdr:cNvPr id="3" name="Chart 2">
          <a:extLst>
            <a:ext uri="{FF2B5EF4-FFF2-40B4-BE49-F238E27FC236}">
              <a16:creationId xmlns:a16="http://schemas.microsoft.com/office/drawing/2014/main" id="{8BA38FCA-E474-5F44-D2BD-43AF24612B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209550</xdr:colOff>
      <xdr:row>3</xdr:row>
      <xdr:rowOff>128587</xdr:rowOff>
    </xdr:from>
    <xdr:to>
      <xdr:col>11</xdr:col>
      <xdr:colOff>514350</xdr:colOff>
      <xdr:row>18</xdr:row>
      <xdr:rowOff>14287</xdr:rowOff>
    </xdr:to>
    <xdr:graphicFrame macro="">
      <xdr:nvGraphicFramePr>
        <xdr:cNvPr id="2" name="Chart 1">
          <a:extLst>
            <a:ext uri="{FF2B5EF4-FFF2-40B4-BE49-F238E27FC236}">
              <a16:creationId xmlns:a16="http://schemas.microsoft.com/office/drawing/2014/main" id="{813F01E7-24A8-C626-808C-37CA7D764B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NAME" xr10:uid="{01C3EAA2-3CA2-48B6-8C0C-A74C74C9E24D}" sourceName="COMPANY_NAME">
  <extLst>
    <x:ext xmlns:x15="http://schemas.microsoft.com/office/spreadsheetml/2010/11/main" uri="{2F2917AC-EB37-4324-AD4E-5DD8C200BD13}">
      <x15:tableSlicerCache tableId="2"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ESTMENT_AMOUNT__USD" xr10:uid="{6D3F0E70-2139-4563-812F-FA2D0194416E}" sourceName="INVESTMENT AMOUNT (USD)">
  <extLst>
    <x:ext xmlns:x15="http://schemas.microsoft.com/office/spreadsheetml/2010/11/main" uri="{2F2917AC-EB37-4324-AD4E-5DD8C200BD13}">
      <x15:tableSlicerCache tableId="2"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_NAME" xr10:uid="{D2D1BF6C-F74D-49B7-A9DD-B6FC782BA13F}" cache="Slicer_COMPANY_NAME" caption="COMPANY_NAME" rowHeight="241300"/>
  <slicer name="INVESTMENT AMOUNT (USD)" xr10:uid="{3A768713-1BDF-4D4C-9D8A-AFB79056E964}" cache="Slicer_INVESTMENT_AMOUNT__USD" caption="INVESTMENT AMOUNT (US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85DC015-9960-47FA-A637-6B66C3CB4FFA}" name="JLoka_Investors" displayName="JLoka_Investors" ref="B1:F9" totalsRowShown="0" dataDxfId="34" tableBorderDxfId="33">
  <autoFilter ref="B1:F9" xr:uid="{22AB70FF-96FA-4025-A517-8BDE3ECE5EBF}"/>
  <sortState xmlns:xlrd2="http://schemas.microsoft.com/office/spreadsheetml/2017/richdata2" ref="B2:F9">
    <sortCondition ref="B1:B9"/>
  </sortState>
  <tableColumns count="5">
    <tableColumn id="1" xr3:uid="{0BE1A407-37E2-45E1-A4B9-6EE27C852CA8}" name="INVESTOR_ID" dataDxfId="32"/>
    <tableColumn id="2" xr3:uid="{F40E02B0-B4B8-4130-A683-00045FEF2BC6}" name="INVESTOR_NAME" dataDxfId="31"/>
    <tableColumn id="3" xr3:uid="{EB541472-54EA-4246-959A-8F16F8FDA58F}" name="COMPANY_NAME" dataDxfId="30"/>
    <tableColumn id="4" xr3:uid="{B149ED9E-81EF-4313-90DA-EDCF3ACBE03C}" name="INVESTMENT AMOUNT (USD)" dataDxfId="29" dataCellStyle="Currency"/>
    <tableColumn id="5" xr3:uid="{5C700949-A13F-423E-81D1-C89753142DF7}" name="INVESTMENT_DATE" dataDxfId="28"/>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0111534-CC78-4AAC-9FB0-08AB9DCECE24}" name="Table4" displayName="Table4" ref="B3:E14" totalsRowShown="0" headerRowDxfId="27" dataDxfId="26" dataCellStyle="Percent">
  <autoFilter ref="B3:E14" xr:uid="{E0111534-CC78-4AAC-9FB0-08AB9DCECE24}"/>
  <tableColumns count="4">
    <tableColumn id="1" xr3:uid="{B5AEA49B-906B-4BA3-9E02-DF265E516312}" name="Year"/>
    <tableColumn id="2" xr3:uid="{8C94788E-9FB3-46B0-A805-B97EFDDC36C5}" name="Jloka-01" dataDxfId="25" dataCellStyle="Percent">
      <calculatedColumnFormula>RAND()</calculatedColumnFormula>
    </tableColumn>
    <tableColumn id="3" xr3:uid="{A2693482-C7C8-4B05-9865-B12ABE5CC110}" name="Jloka-02" dataDxfId="24" dataCellStyle="Percent">
      <calculatedColumnFormula>RAND()</calculatedColumnFormula>
    </tableColumn>
    <tableColumn id="4" xr3:uid="{8F26A52C-2531-497C-A839-2A770D581E4E}" name="Jloka-03" dataDxfId="23" dataCellStyle="Percent">
      <calculatedColumnFormula>RAND()</calculatedColumnFormula>
    </tableColumn>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0A2B397-4223-4F15-9DB4-892BEE67AC07}" name="Table3" displayName="Table3" ref="B2:C6" totalsRowShown="0">
  <autoFilter ref="B2:C6" xr:uid="{80A2B397-4223-4F15-9DB4-892BEE67AC07}"/>
  <tableColumns count="2">
    <tableColumn id="1" xr3:uid="{C09EC9D1-D203-4F94-BBB0-27B52BD67348}" name="Investment Type"/>
    <tableColumn id="2" xr3:uid="{DDA73600-5426-4CA3-8EA1-3D48A09909F0}" name="Portfolio Allocation" dataDxfId="22" dataCellStyle="Percent"/>
  </tableColumns>
  <tableStyleInfo name="TableStyleLight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6F768BE-F4AC-48CD-9271-53238CC90A9E}" name="Table5" displayName="Table5" ref="B2:G8" totalsRowShown="0" headerRowDxfId="21">
  <autoFilter ref="B2:G8" xr:uid="{26F768BE-F4AC-48CD-9271-53238CC90A9E}"/>
  <tableColumns count="6">
    <tableColumn id="1" xr3:uid="{CD0DE5D2-C8ED-45CF-8F5D-E6E88682B06A}" name="Applicant" dataDxfId="20"/>
    <tableColumn id="2" xr3:uid="{89F30673-4126-482B-AFC9-E6FAD8DBE3F4}" name="Credit Score" dataDxfId="19"/>
    <tableColumn id="3" xr3:uid="{4BC38630-914F-4BE8-9B0A-961F3FF855C4}" name="Loan Amount" dataDxfId="18" dataCellStyle="Currency"/>
    <tableColumn id="4" xr3:uid="{7CE22975-ED55-49DD-B302-D5C876BF8196}" name="Employement Status" dataDxfId="17"/>
    <tableColumn id="5" xr3:uid="{BD342C3D-5A81-4372-A781-AB1A62E26D7B}" name="Good Credit?" dataDxfId="16">
      <calculatedColumnFormula>IF(Table5[[#This Row],[Credit Score]]&gt;700, "Yes", "No")</calculatedColumnFormula>
    </tableColumn>
    <tableColumn id="6" xr3:uid="{14D8C1DF-DE7F-494A-8E09-15D4A0C38048}" name="Approved or Denied?" dataDxfId="15">
      <calculatedColumnFormula>IF(OR(Table5[[#This Row],[Good Credit?]]="Yes", Table5[[#This Row],[Employement Status]]="Full-Time"), "Approved", IF(AND(C3&gt;650, Table5[[#This Row],[Loan Amount]]&lt;12000), "Approved", "Denied"))</calculatedColumnFormula>
    </tableColumn>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776827-273F-4CF2-BBDD-3C1A235A406D}" name="Table1" displayName="Table1" ref="B2:E12" totalsRowShown="0" headerRowDxfId="14">
  <autoFilter ref="B2:E12" xr:uid="{D6776827-273F-4CF2-BBDD-3C1A235A406D}"/>
  <tableColumns count="4">
    <tableColumn id="1" xr3:uid="{6A18450A-3CA5-4EB5-8DD9-4859B5561889}" name="Ticker"/>
    <tableColumn id="2" xr3:uid="{FA7BE9A2-00B3-4719-BE3C-20A682E122D9}" name="Company"/>
    <tableColumn id="3" xr3:uid="{93EFFFCB-2911-497B-87A0-3A4DF10829DB}" name="Price" dataDxfId="13" dataCellStyle="Currency">
      <calculatedColumnFormula>RANDBETWEEN(250, 3200)</calculatedColumnFormula>
    </tableColumn>
    <tableColumn id="4" xr3:uid="{1545D519-F59F-4471-957F-E0327328561F}" name="Dividend" dataDxfId="12" dataCellStyle="Currency">
      <calculatedColumnFormula>RANDBETWEEN(0, 2)</calculatedColumnFormula>
    </tableColumn>
  </tableColumns>
  <tableStyleInfo name="TableStyleLight1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3D5987-9D63-4495-A3E0-40C18910C1BB}" name="Table6" displayName="Table6" ref="G2:I6" totalsRowShown="0" headerRowDxfId="11">
  <autoFilter ref="G2:I6" xr:uid="{523D5987-9D63-4495-A3E0-40C18910C1BB}"/>
  <tableColumns count="3">
    <tableColumn id="1" xr3:uid="{5F0DF985-326B-4188-9761-4EF834FAAC8F}" name="Ticker"/>
    <tableColumn id="2" xr3:uid="{34F55C9B-69AE-404C-BCD4-52F70E9A9001}" name="Price" dataDxfId="10" dataCellStyle="Currency">
      <calculatedColumnFormula>VLOOKUP($G3, Table1[], 3, FALSE)</calculatedColumnFormula>
    </tableColumn>
    <tableColumn id="3" xr3:uid="{CB5E81CC-AE6E-4E52-BCE7-89190BAE3FC0}" name="Dividend" dataDxfId="9" dataCellStyle="Currency">
      <calculatedColumnFormula>VLOOKUP($G3, Table1[], 4, FALSE)</calculatedColumnFormula>
    </tableColumn>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2E15C98-66B8-471C-A245-225B29CE147F}" name="Table18" displayName="Table18" ref="B2:E12" totalsRowShown="0" headerRowDxfId="8">
  <autoFilter ref="B2:E12" xr:uid="{D6776827-273F-4CF2-BBDD-3C1A235A406D}"/>
  <tableColumns count="4">
    <tableColumn id="1" xr3:uid="{6153BC4B-CB64-4AF3-8BDB-3C67B9222CA2}" name="Ticker"/>
    <tableColumn id="2" xr3:uid="{52D14EC0-E80A-4AD1-B945-4AF713433E12}" name="Company"/>
    <tableColumn id="3" xr3:uid="{1B82F8EC-F7E7-47A6-9E49-3400ACAAE6B6}" name="Price" dataDxfId="7" dataCellStyle="Currency">
      <calculatedColumnFormula>RANDBETWEEN(250, 3200)</calculatedColumnFormula>
    </tableColumn>
    <tableColumn id="4" xr3:uid="{EEAF0D74-71EA-45D2-A67A-FB1DFB7D91AE}" name="Dividend" dataDxfId="6" dataCellStyle="Currency">
      <calculatedColumnFormula>RANDBETWEEN(0, 2)</calculatedColumnFormula>
    </tableColumn>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24AB42E-2508-4FC6-9636-69F943E6AC52}" name="Table69" displayName="Table69" ref="G2:I6" totalsRowShown="0" headerRowDxfId="5">
  <autoFilter ref="G2:I6" xr:uid="{523D5987-9D63-4495-A3E0-40C18910C1BB}"/>
  <tableColumns count="3">
    <tableColumn id="1" xr3:uid="{51F24543-C1E6-46E0-9D99-BA4472C976F6}" name="Ticker"/>
    <tableColumn id="2" xr3:uid="{D2E2C469-1439-4BE7-9808-48F853A4077B}" name="Price" dataDxfId="4" dataCellStyle="Currency">
      <calculatedColumnFormula>_xlfn.XLOOKUP(Table69[[#This Row],[Ticker]], Table18[Ticker], Table18[Price], "Missing")</calculatedColumnFormula>
    </tableColumn>
    <tableColumn id="3" xr3:uid="{E0FC8430-98AC-4152-B1BA-30813CCFBC65}" name="Dividend" dataDxfId="3" dataCellStyle="Currency">
      <calculatedColumnFormula>_xlfn.XLOOKUP(Table69[[#This Row],[Ticker]], Table18[Ticker], Table18[Dividend], "Missing")</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8"/>
  <sheetViews>
    <sheetView workbookViewId="0">
      <selection activeCell="D2" sqref="D2:D8"/>
    </sheetView>
  </sheetViews>
  <sheetFormatPr defaultRowHeight="14.4" x14ac:dyDescent="0.3"/>
  <cols>
    <col min="2" max="2" width="15.44140625" customWidth="1"/>
    <col min="3" max="3" width="12.109375" customWidth="1"/>
    <col min="4" max="4" width="15.6640625" customWidth="1"/>
  </cols>
  <sheetData>
    <row r="2" spans="2:4" x14ac:dyDescent="0.3">
      <c r="B2" t="s">
        <v>0</v>
      </c>
      <c r="C2">
        <v>1</v>
      </c>
      <c r="D2" s="1">
        <v>46144</v>
      </c>
    </row>
    <row r="3" spans="2:4" x14ac:dyDescent="0.3">
      <c r="B3" t="s">
        <v>1</v>
      </c>
      <c r="C3">
        <v>2</v>
      </c>
      <c r="D3" s="1">
        <v>46145</v>
      </c>
    </row>
    <row r="4" spans="2:4" x14ac:dyDescent="0.3">
      <c r="B4" t="s">
        <v>2</v>
      </c>
      <c r="C4">
        <v>3</v>
      </c>
      <c r="D4" s="1">
        <v>46146</v>
      </c>
    </row>
    <row r="5" spans="2:4" x14ac:dyDescent="0.3">
      <c r="B5" t="s">
        <v>3</v>
      </c>
      <c r="C5">
        <v>4</v>
      </c>
      <c r="D5" s="1">
        <v>46147</v>
      </c>
    </row>
    <row r="6" spans="2:4" x14ac:dyDescent="0.3">
      <c r="B6" t="s">
        <v>4</v>
      </c>
      <c r="C6">
        <v>5</v>
      </c>
      <c r="D6" s="1">
        <v>46148</v>
      </c>
    </row>
    <row r="7" spans="2:4" x14ac:dyDescent="0.3">
      <c r="B7" t="s">
        <v>5</v>
      </c>
      <c r="C7">
        <v>6</v>
      </c>
      <c r="D7" s="1">
        <v>46149</v>
      </c>
    </row>
    <row r="8" spans="2:4" x14ac:dyDescent="0.3">
      <c r="B8" t="s">
        <v>6</v>
      </c>
      <c r="C8">
        <v>7</v>
      </c>
      <c r="D8" s="1">
        <v>46150</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03D7-B63C-4C14-ADB0-194A7F9BABAD}">
  <dimension ref="B2:E6"/>
  <sheetViews>
    <sheetView showGridLines="0" workbookViewId="0">
      <selection activeCell="D11" sqref="D11"/>
    </sheetView>
  </sheetViews>
  <sheetFormatPr defaultRowHeight="14.4" x14ac:dyDescent="0.3"/>
  <cols>
    <col min="2" max="2" width="15.88671875" customWidth="1"/>
    <col min="3" max="3" width="18" customWidth="1"/>
    <col min="4" max="4" width="20.33203125" style="2" customWidth="1"/>
    <col min="5" max="5" width="24.44140625" style="3" customWidth="1"/>
  </cols>
  <sheetData>
    <row r="2" spans="2:5" x14ac:dyDescent="0.3">
      <c r="B2" s="7" t="s">
        <v>7</v>
      </c>
      <c r="C2" s="7" t="s">
        <v>8</v>
      </c>
      <c r="D2" s="8" t="s">
        <v>9</v>
      </c>
      <c r="E2" s="9" t="s">
        <v>10</v>
      </c>
    </row>
    <row r="3" spans="2:5" x14ac:dyDescent="0.3">
      <c r="B3" s="4" t="s">
        <v>12</v>
      </c>
      <c r="C3" s="4" t="s">
        <v>11</v>
      </c>
      <c r="D3" s="5">
        <v>150.5</v>
      </c>
      <c r="E3" s="6">
        <v>0.1</v>
      </c>
    </row>
    <row r="4" spans="2:5" x14ac:dyDescent="0.3">
      <c r="B4" s="4" t="s">
        <v>13</v>
      </c>
      <c r="C4" s="4" t="s">
        <v>16</v>
      </c>
      <c r="D4" s="5">
        <v>185.35</v>
      </c>
      <c r="E4" s="6">
        <v>0.01</v>
      </c>
    </row>
    <row r="5" spans="2:5" x14ac:dyDescent="0.3">
      <c r="B5" s="4" t="s">
        <v>14</v>
      </c>
      <c r="C5" s="4" t="s">
        <v>17</v>
      </c>
      <c r="D5" s="5">
        <v>250.25</v>
      </c>
      <c r="E5" s="6">
        <v>0.05</v>
      </c>
    </row>
    <row r="6" spans="2:5" x14ac:dyDescent="0.3">
      <c r="B6" s="4" t="s">
        <v>15</v>
      </c>
      <c r="C6" s="4" t="s">
        <v>18</v>
      </c>
      <c r="D6" s="5">
        <v>100.75</v>
      </c>
      <c r="E6" s="6">
        <v>0.15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F221F-0025-402B-A438-3CAAFA8F5C9B}">
  <dimension ref="A1:N11"/>
  <sheetViews>
    <sheetView showGridLines="0" workbookViewId="0">
      <selection activeCell="N7" sqref="N7"/>
    </sheetView>
  </sheetViews>
  <sheetFormatPr defaultRowHeight="14.4" x14ac:dyDescent="0.3"/>
  <cols>
    <col min="9" max="9" width="21.44140625" customWidth="1"/>
    <col min="14" max="14" width="19.6640625" customWidth="1"/>
  </cols>
  <sheetData>
    <row r="1" spans="1:14" x14ac:dyDescent="0.3">
      <c r="A1" s="88" t="s">
        <v>19</v>
      </c>
      <c r="B1" s="88"/>
      <c r="C1" s="88"/>
      <c r="D1" s="88"/>
      <c r="E1" s="88"/>
      <c r="F1" s="88"/>
      <c r="G1" s="88"/>
      <c r="H1" s="88"/>
      <c r="I1" s="88"/>
      <c r="J1" s="88"/>
      <c r="K1" s="88"/>
      <c r="L1" s="88"/>
    </row>
    <row r="2" spans="1:14" x14ac:dyDescent="0.3">
      <c r="A2" s="83" t="s">
        <v>20</v>
      </c>
      <c r="B2" s="83"/>
      <c r="C2" s="83"/>
      <c r="D2" s="83"/>
      <c r="E2" s="83" t="s">
        <v>21</v>
      </c>
      <c r="F2" s="83"/>
      <c r="G2" s="83"/>
      <c r="H2" s="83"/>
      <c r="I2" s="83" t="s">
        <v>21</v>
      </c>
      <c r="J2" s="83"/>
      <c r="K2" s="83"/>
      <c r="L2" s="83"/>
    </row>
    <row r="3" spans="1:14" x14ac:dyDescent="0.3">
      <c r="A3" s="84">
        <v>46144</v>
      </c>
      <c r="B3" s="85"/>
      <c r="C3" s="85"/>
      <c r="D3" s="85"/>
      <c r="E3" s="86">
        <v>250.25</v>
      </c>
      <c r="F3" s="86"/>
      <c r="G3" s="86"/>
      <c r="H3" s="86"/>
      <c r="I3" s="85"/>
      <c r="J3" s="85"/>
      <c r="K3" s="85"/>
      <c r="L3" s="85"/>
      <c r="N3" s="11" t="s">
        <v>22</v>
      </c>
    </row>
    <row r="4" spans="1:14" x14ac:dyDescent="0.3">
      <c r="A4" s="84">
        <v>46145</v>
      </c>
      <c r="B4" s="85"/>
      <c r="C4" s="85"/>
      <c r="D4" s="85"/>
      <c r="E4" s="86">
        <v>300</v>
      </c>
      <c r="F4" s="86"/>
      <c r="G4" s="86"/>
      <c r="H4" s="86"/>
      <c r="I4" s="87">
        <f>(E4-E3)/E3</f>
        <v>0.19880119880119881</v>
      </c>
      <c r="J4" s="87"/>
      <c r="K4" s="87"/>
      <c r="L4" s="87"/>
      <c r="N4" s="10">
        <f>AVERAGE(I4:L11)</f>
        <v>-8.1596436336491718E-2</v>
      </c>
    </row>
    <row r="5" spans="1:14" x14ac:dyDescent="0.3">
      <c r="A5" s="84">
        <v>46146</v>
      </c>
      <c r="B5" s="85"/>
      <c r="C5" s="85"/>
      <c r="D5" s="85"/>
      <c r="E5" s="86">
        <v>350.15</v>
      </c>
      <c r="F5" s="86"/>
      <c r="G5" s="86"/>
      <c r="H5" s="86"/>
      <c r="I5" s="87">
        <f>(E5-E4)/E4</f>
        <v>0.1671666666666666</v>
      </c>
      <c r="J5" s="87"/>
      <c r="K5" s="87"/>
      <c r="L5" s="87"/>
    </row>
    <row r="6" spans="1:14" x14ac:dyDescent="0.3">
      <c r="A6" s="84">
        <v>46147</v>
      </c>
      <c r="B6" s="85"/>
      <c r="C6" s="85"/>
      <c r="D6" s="85"/>
      <c r="E6" s="86">
        <v>650.5</v>
      </c>
      <c r="F6" s="86"/>
      <c r="G6" s="86"/>
      <c r="H6" s="86"/>
      <c r="I6" s="87">
        <f>(E6-E5)/E5</f>
        <v>0.85777523918320731</v>
      </c>
      <c r="J6" s="87"/>
      <c r="K6" s="87"/>
      <c r="L6" s="87"/>
      <c r="N6" s="11" t="s">
        <v>23</v>
      </c>
    </row>
    <row r="7" spans="1:14" x14ac:dyDescent="0.3">
      <c r="A7" s="84">
        <v>46148</v>
      </c>
      <c r="B7" s="85"/>
      <c r="C7" s="85"/>
      <c r="D7" s="85"/>
      <c r="E7" s="86">
        <v>600.35</v>
      </c>
      <c r="F7" s="86"/>
      <c r="G7" s="86"/>
      <c r="H7" s="86"/>
      <c r="I7" s="87">
        <f t="shared" ref="I7:I10" si="0">(E7-E6)/E6</f>
        <v>-7.7094542659492657E-2</v>
      </c>
      <c r="J7" s="87"/>
      <c r="K7" s="87"/>
      <c r="L7" s="87"/>
      <c r="N7" s="12" t="str">
        <f>IF(N4&gt;0,"Positive","Negative")</f>
        <v>Negative</v>
      </c>
    </row>
    <row r="8" spans="1:14" x14ac:dyDescent="0.3">
      <c r="A8" s="84">
        <v>46149</v>
      </c>
      <c r="B8" s="85"/>
      <c r="C8" s="85"/>
      <c r="D8" s="85"/>
      <c r="E8" s="86">
        <v>150.19999999999999</v>
      </c>
      <c r="F8" s="86"/>
      <c r="G8" s="86"/>
      <c r="H8" s="86"/>
      <c r="I8" s="87">
        <f t="shared" si="0"/>
        <v>-0.74981260931123517</v>
      </c>
      <c r="J8" s="87"/>
      <c r="K8" s="87"/>
      <c r="L8" s="87"/>
    </row>
    <row r="9" spans="1:14" x14ac:dyDescent="0.3">
      <c r="A9" s="84">
        <v>46150</v>
      </c>
      <c r="B9" s="85"/>
      <c r="C9" s="85"/>
      <c r="D9" s="85"/>
      <c r="E9" s="86">
        <v>55.5</v>
      </c>
      <c r="F9" s="86"/>
      <c r="G9" s="86"/>
      <c r="H9" s="86"/>
      <c r="I9" s="87">
        <f t="shared" si="0"/>
        <v>-0.6304926764314247</v>
      </c>
      <c r="J9" s="87"/>
      <c r="K9" s="87"/>
      <c r="L9" s="87"/>
    </row>
    <row r="10" spans="1:14" x14ac:dyDescent="0.3">
      <c r="A10" s="84">
        <v>46151</v>
      </c>
      <c r="B10" s="85"/>
      <c r="C10" s="85"/>
      <c r="D10" s="85"/>
      <c r="E10" s="86">
        <v>80.5</v>
      </c>
      <c r="F10" s="86"/>
      <c r="G10" s="86"/>
      <c r="H10" s="86"/>
      <c r="I10" s="87">
        <f t="shared" si="0"/>
        <v>0.45045045045045046</v>
      </c>
      <c r="J10" s="87"/>
      <c r="K10" s="87"/>
      <c r="L10" s="87"/>
    </row>
    <row r="11" spans="1:14" x14ac:dyDescent="0.3">
      <c r="A11" s="84">
        <v>46152</v>
      </c>
      <c r="B11" s="85"/>
      <c r="C11" s="85"/>
      <c r="D11" s="85"/>
      <c r="E11" s="86">
        <v>10.5</v>
      </c>
      <c r="F11" s="86"/>
      <c r="G11" s="86"/>
      <c r="H11" s="86"/>
      <c r="I11" s="87">
        <f t="shared" ref="I11" si="1">(E11-E10)/E10</f>
        <v>-0.86956521739130432</v>
      </c>
      <c r="J11" s="87"/>
      <c r="K11" s="87"/>
      <c r="L11" s="87"/>
    </row>
  </sheetData>
  <mergeCells count="31">
    <mergeCell ref="I10:L10"/>
    <mergeCell ref="A1:L1"/>
    <mergeCell ref="A11:D11"/>
    <mergeCell ref="E11:H11"/>
    <mergeCell ref="I11:L11"/>
    <mergeCell ref="E10:H10"/>
    <mergeCell ref="I2:L2"/>
    <mergeCell ref="I3:L3"/>
    <mergeCell ref="I4:L4"/>
    <mergeCell ref="I5:L5"/>
    <mergeCell ref="I6:L6"/>
    <mergeCell ref="I7:L7"/>
    <mergeCell ref="I8:L8"/>
    <mergeCell ref="I9:L9"/>
    <mergeCell ref="A8:D8"/>
    <mergeCell ref="A9:D9"/>
    <mergeCell ref="A10:D10"/>
    <mergeCell ref="E3:H3"/>
    <mergeCell ref="E4:H4"/>
    <mergeCell ref="E5:H5"/>
    <mergeCell ref="E6:H6"/>
    <mergeCell ref="E7:H7"/>
    <mergeCell ref="E8:H8"/>
    <mergeCell ref="E9:H9"/>
    <mergeCell ref="A6:D6"/>
    <mergeCell ref="A7:D7"/>
    <mergeCell ref="A2:D2"/>
    <mergeCell ref="E2:H2"/>
    <mergeCell ref="A3:D3"/>
    <mergeCell ref="A4:D4"/>
    <mergeCell ref="A5:D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81B24-AD91-4661-91C0-87FEDD27A3C2}">
  <dimension ref="B2:I17"/>
  <sheetViews>
    <sheetView showGridLines="0" workbookViewId="0">
      <selection activeCell="I3" sqref="I3"/>
    </sheetView>
  </sheetViews>
  <sheetFormatPr defaultRowHeight="14.4" x14ac:dyDescent="0.3"/>
  <cols>
    <col min="2" max="2" width="13.44140625" customWidth="1"/>
    <col min="3" max="3" width="30.88671875" bestFit="1" customWidth="1"/>
    <col min="5" max="5" width="15.33203125" bestFit="1" customWidth="1"/>
    <col min="6" max="6" width="13.6640625" bestFit="1" customWidth="1"/>
  </cols>
  <sheetData>
    <row r="2" spans="2:9" x14ac:dyDescent="0.3">
      <c r="B2" s="13" t="s">
        <v>20</v>
      </c>
      <c r="C2" s="13" t="s">
        <v>24</v>
      </c>
      <c r="D2" s="18"/>
      <c r="E2" s="13" t="s">
        <v>25</v>
      </c>
      <c r="F2" s="16" t="s">
        <v>26</v>
      </c>
      <c r="G2" s="16" t="s">
        <v>27</v>
      </c>
      <c r="H2" s="16" t="s">
        <v>28</v>
      </c>
      <c r="I2" s="16" t="s">
        <v>29</v>
      </c>
    </row>
    <row r="3" spans="2:9" x14ac:dyDescent="0.3">
      <c r="B3" s="14">
        <v>46144</v>
      </c>
      <c r="C3" s="15">
        <v>1000000</v>
      </c>
      <c r="D3" s="17"/>
      <c r="E3" s="20">
        <f>SUM(C3:C17)</f>
        <v>1653820000</v>
      </c>
      <c r="F3" s="20">
        <f>MAX(C3:C17)</f>
        <v>800000000</v>
      </c>
      <c r="G3" s="20">
        <f>MIN(C3:C17)</f>
        <v>10000</v>
      </c>
      <c r="H3" s="19">
        <f>COUNT(C3:C17)</f>
        <v>15</v>
      </c>
      <c r="I3" s="19">
        <f>COUNTIF(C3:C17,"&gt;1000000")</f>
        <v>8</v>
      </c>
    </row>
    <row r="4" spans="2:9" x14ac:dyDescent="0.3">
      <c r="B4" s="14">
        <v>46145</v>
      </c>
      <c r="C4" s="15">
        <v>2000000</v>
      </c>
      <c r="D4" s="17"/>
      <c r="F4" s="17"/>
      <c r="G4" s="17"/>
      <c r="H4" s="17"/>
      <c r="I4" s="17"/>
    </row>
    <row r="5" spans="2:9" x14ac:dyDescent="0.3">
      <c r="B5" s="14">
        <v>46146</v>
      </c>
      <c r="C5" s="15">
        <v>3000000</v>
      </c>
      <c r="D5" s="17"/>
      <c r="E5" s="17"/>
      <c r="F5" s="17"/>
      <c r="G5" s="17"/>
      <c r="H5" s="17"/>
      <c r="I5" s="17"/>
    </row>
    <row r="6" spans="2:9" x14ac:dyDescent="0.3">
      <c r="B6" s="14">
        <v>46147</v>
      </c>
      <c r="C6" s="15">
        <v>10000</v>
      </c>
      <c r="D6" s="17"/>
      <c r="E6" s="17"/>
      <c r="F6" s="17"/>
      <c r="G6" s="17"/>
      <c r="H6" s="17"/>
      <c r="I6" s="17"/>
    </row>
    <row r="7" spans="2:9" x14ac:dyDescent="0.3">
      <c r="B7" s="14">
        <v>46148</v>
      </c>
      <c r="C7" s="15">
        <v>100000</v>
      </c>
      <c r="D7" s="17"/>
      <c r="E7" s="17"/>
      <c r="F7" s="17"/>
      <c r="G7" s="17"/>
      <c r="H7" s="17"/>
      <c r="I7" s="17"/>
    </row>
    <row r="8" spans="2:9" x14ac:dyDescent="0.3">
      <c r="B8" s="14">
        <v>46149</v>
      </c>
      <c r="C8" s="15">
        <v>500000</v>
      </c>
      <c r="D8" s="17"/>
      <c r="E8" s="17"/>
      <c r="F8" s="17"/>
      <c r="G8" s="17"/>
      <c r="H8" s="17"/>
      <c r="I8" s="17"/>
    </row>
    <row r="9" spans="2:9" x14ac:dyDescent="0.3">
      <c r="B9" s="14">
        <v>46150</v>
      </c>
      <c r="C9" s="15">
        <v>6000000</v>
      </c>
      <c r="D9" s="17"/>
      <c r="E9" s="17"/>
      <c r="F9" s="17"/>
      <c r="G9" s="17"/>
      <c r="H9" s="17"/>
      <c r="I9" s="17"/>
    </row>
    <row r="10" spans="2:9" x14ac:dyDescent="0.3">
      <c r="B10" s="14">
        <v>46151</v>
      </c>
      <c r="C10" s="15">
        <v>100000000</v>
      </c>
      <c r="D10" s="17"/>
      <c r="E10" s="17"/>
      <c r="F10" s="17"/>
      <c r="G10" s="17"/>
      <c r="H10" s="17"/>
      <c r="I10" s="17"/>
    </row>
    <row r="11" spans="2:9" x14ac:dyDescent="0.3">
      <c r="B11" s="14">
        <v>46152</v>
      </c>
      <c r="C11" s="15">
        <v>700000000</v>
      </c>
      <c r="D11" s="17"/>
      <c r="E11" s="17"/>
      <c r="F11" s="17"/>
      <c r="G11" s="17"/>
      <c r="H11" s="17"/>
      <c r="I11" s="17"/>
    </row>
    <row r="12" spans="2:9" x14ac:dyDescent="0.3">
      <c r="B12" s="14">
        <v>46153</v>
      </c>
      <c r="C12" s="15">
        <v>800000000</v>
      </c>
      <c r="D12" s="17"/>
      <c r="E12" s="17"/>
      <c r="F12" s="17"/>
      <c r="G12" s="17"/>
      <c r="H12" s="17"/>
      <c r="I12" s="17"/>
    </row>
    <row r="13" spans="2:9" x14ac:dyDescent="0.3">
      <c r="B13" s="14">
        <v>46154</v>
      </c>
      <c r="C13" s="15">
        <v>10000</v>
      </c>
      <c r="D13" s="17"/>
      <c r="E13" s="17"/>
      <c r="F13" s="17"/>
      <c r="G13" s="17"/>
      <c r="H13" s="17"/>
      <c r="I13" s="17"/>
    </row>
    <row r="14" spans="2:9" x14ac:dyDescent="0.3">
      <c r="B14" s="14">
        <v>46155</v>
      </c>
      <c r="C14" s="15">
        <v>300000</v>
      </c>
      <c r="D14" s="17"/>
      <c r="E14" s="17"/>
      <c r="F14" s="17"/>
      <c r="G14" s="17"/>
      <c r="H14" s="17"/>
      <c r="I14" s="17"/>
    </row>
    <row r="15" spans="2:9" x14ac:dyDescent="0.3">
      <c r="B15" s="14">
        <v>46156</v>
      </c>
      <c r="C15" s="15">
        <v>15000000</v>
      </c>
      <c r="D15" s="17"/>
      <c r="E15" s="17"/>
      <c r="F15" s="17"/>
      <c r="G15" s="17"/>
      <c r="H15" s="17"/>
      <c r="I15" s="17"/>
    </row>
    <row r="16" spans="2:9" x14ac:dyDescent="0.3">
      <c r="B16" s="14">
        <v>46157</v>
      </c>
      <c r="C16" s="15">
        <v>25000000</v>
      </c>
      <c r="D16" s="17"/>
      <c r="E16" s="17"/>
      <c r="F16" s="17"/>
      <c r="G16" s="17"/>
      <c r="H16" s="17"/>
      <c r="I16" s="17"/>
    </row>
    <row r="17" spans="2:9" x14ac:dyDescent="0.3">
      <c r="B17" s="14">
        <v>46158</v>
      </c>
      <c r="C17" s="15">
        <v>900000</v>
      </c>
      <c r="D17" s="17"/>
      <c r="E17" s="17"/>
      <c r="F17" s="17"/>
      <c r="G17" s="17"/>
      <c r="H17" s="17"/>
      <c r="I17" s="1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A967B-77A0-46E6-9D75-84A934B0FAA8}">
  <dimension ref="A1:G8"/>
  <sheetViews>
    <sheetView showGridLines="0" zoomScale="175" zoomScaleNormal="175" workbookViewId="0">
      <selection activeCell="F8" sqref="F8"/>
    </sheetView>
  </sheetViews>
  <sheetFormatPr defaultRowHeight="14.4" x14ac:dyDescent="0.3"/>
  <cols>
    <col min="5" max="5" width="11" customWidth="1"/>
    <col min="6" max="6" width="10.6640625" bestFit="1" customWidth="1"/>
    <col min="7" max="7" width="19.33203125" bestFit="1" customWidth="1"/>
  </cols>
  <sheetData>
    <row r="1" spans="1:7" x14ac:dyDescent="0.3">
      <c r="A1" s="89" t="s">
        <v>30</v>
      </c>
      <c r="B1" s="89" t="s">
        <v>31</v>
      </c>
      <c r="C1" s="90" t="s">
        <v>32</v>
      </c>
      <c r="D1" s="90"/>
      <c r="E1" s="90" t="s">
        <v>35</v>
      </c>
      <c r="F1" s="90"/>
      <c r="G1" s="89" t="s">
        <v>36</v>
      </c>
    </row>
    <row r="2" spans="1:7" x14ac:dyDescent="0.3">
      <c r="A2" s="89"/>
      <c r="B2" s="89"/>
      <c r="C2" s="21" t="s">
        <v>33</v>
      </c>
      <c r="D2" s="21" t="s">
        <v>34</v>
      </c>
      <c r="E2" s="21" t="s">
        <v>33</v>
      </c>
      <c r="F2" s="21" t="s">
        <v>34</v>
      </c>
      <c r="G2" s="89"/>
    </row>
    <row r="3" spans="1:7" x14ac:dyDescent="0.3">
      <c r="A3" s="81" t="s">
        <v>37</v>
      </c>
      <c r="B3" s="82">
        <f ca="1">RANDBETWEEN(10, 50)</f>
        <v>21</v>
      </c>
      <c r="C3" s="12">
        <f ca="1">RANDBETWEEN(2, 10)</f>
        <v>5</v>
      </c>
      <c r="D3" s="12">
        <f ca="1">RANDBETWEEN(2, 10)</f>
        <v>6</v>
      </c>
      <c r="E3" s="22">
        <f ca="1">$B3*C3</f>
        <v>105</v>
      </c>
      <c r="F3" s="25">
        <f ca="1">$B3*D3</f>
        <v>126</v>
      </c>
      <c r="G3" s="28">
        <f ca="1">(E3+F3)/(E$8+F$8)</f>
        <v>0.21730950141110067</v>
      </c>
    </row>
    <row r="4" spans="1:7" x14ac:dyDescent="0.3">
      <c r="A4" s="81" t="s">
        <v>38</v>
      </c>
      <c r="B4" s="82">
        <f t="shared" ref="B4:B7" ca="1" si="0">RANDBETWEEN(10, 50)</f>
        <v>16</v>
      </c>
      <c r="C4" s="12">
        <f t="shared" ref="C4:D7" ca="1" si="1">RANDBETWEEN(2, 10)</f>
        <v>8</v>
      </c>
      <c r="D4" s="12">
        <f t="shared" ca="1" si="1"/>
        <v>7</v>
      </c>
      <c r="E4" s="22">
        <f t="shared" ref="E4:F7" ca="1" si="2">$B4*C4</f>
        <v>128</v>
      </c>
      <c r="F4" s="26">
        <f t="shared" ca="1" si="2"/>
        <v>112</v>
      </c>
      <c r="G4" s="28">
        <f ca="1">(E4+F4)/(E$8+F$8)</f>
        <v>0.22577610536218251</v>
      </c>
    </row>
    <row r="5" spans="1:7" x14ac:dyDescent="0.3">
      <c r="A5" s="81" t="s">
        <v>39</v>
      </c>
      <c r="B5" s="82">
        <f t="shared" ca="1" si="0"/>
        <v>30</v>
      </c>
      <c r="C5" s="12">
        <f t="shared" ca="1" si="1"/>
        <v>2</v>
      </c>
      <c r="D5" s="12">
        <f t="shared" ca="1" si="1"/>
        <v>8</v>
      </c>
      <c r="E5" s="22">
        <f t="shared" ca="1" si="2"/>
        <v>60</v>
      </c>
      <c r="F5" s="25">
        <f t="shared" ca="1" si="2"/>
        <v>240</v>
      </c>
      <c r="G5" s="28">
        <f t="shared" ref="G5:G7" ca="1" si="3">(E5+F5)/(E$8+F$8)</f>
        <v>0.28222013170272814</v>
      </c>
    </row>
    <row r="6" spans="1:7" x14ac:dyDescent="0.3">
      <c r="A6" s="81" t="s">
        <v>40</v>
      </c>
      <c r="B6" s="82">
        <f t="shared" ca="1" si="0"/>
        <v>10</v>
      </c>
      <c r="C6" s="12">
        <f t="shared" ca="1" si="1"/>
        <v>2</v>
      </c>
      <c r="D6" s="12">
        <f t="shared" ca="1" si="1"/>
        <v>8</v>
      </c>
      <c r="E6" s="22">
        <f t="shared" ca="1" si="2"/>
        <v>20</v>
      </c>
      <c r="F6" s="25">
        <f t="shared" ca="1" si="2"/>
        <v>80</v>
      </c>
      <c r="G6" s="28">
        <f t="shared" ca="1" si="3"/>
        <v>9.4073377234242708E-2</v>
      </c>
    </row>
    <row r="7" spans="1:7" x14ac:dyDescent="0.3">
      <c r="A7" s="81" t="s">
        <v>41</v>
      </c>
      <c r="B7" s="82">
        <f t="shared" ca="1" si="0"/>
        <v>32</v>
      </c>
      <c r="C7" s="12">
        <f t="shared" ca="1" si="1"/>
        <v>2</v>
      </c>
      <c r="D7" s="12">
        <f t="shared" ca="1" si="1"/>
        <v>4</v>
      </c>
      <c r="E7" s="22">
        <f t="shared" ca="1" si="2"/>
        <v>64</v>
      </c>
      <c r="F7" s="25">
        <f t="shared" ca="1" si="2"/>
        <v>128</v>
      </c>
      <c r="G7" s="28">
        <f t="shared" ca="1" si="3"/>
        <v>0.18062088428974601</v>
      </c>
    </row>
    <row r="8" spans="1:7" x14ac:dyDescent="0.3">
      <c r="A8" s="79" t="s">
        <v>42</v>
      </c>
      <c r="B8" s="80"/>
      <c r="C8" s="80"/>
      <c r="D8" s="80"/>
      <c r="E8" s="27">
        <f ca="1">SUM(E3:E7)</f>
        <v>377</v>
      </c>
      <c r="F8" s="27">
        <f ca="1">SUM(F3:F7)</f>
        <v>686</v>
      </c>
      <c r="G8" s="24"/>
    </row>
  </sheetData>
  <mergeCells count="5">
    <mergeCell ref="A1:A2"/>
    <mergeCell ref="B1:B2"/>
    <mergeCell ref="C1:D1"/>
    <mergeCell ref="E1:F1"/>
    <mergeCell ref="G1:G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53DF0-38D4-4363-880C-1DE1AFCD6401}">
  <dimension ref="A1:G14"/>
  <sheetViews>
    <sheetView showGridLines="0" workbookViewId="0">
      <selection activeCell="G3" sqref="G3"/>
    </sheetView>
  </sheetViews>
  <sheetFormatPr defaultRowHeight="14.4" x14ac:dyDescent="0.3"/>
  <cols>
    <col min="1" max="1" width="11" customWidth="1"/>
    <col min="2" max="2" width="11.5546875" customWidth="1"/>
    <col min="3" max="3" width="11.6640625" customWidth="1"/>
    <col min="6" max="6" width="16.44140625" customWidth="1"/>
    <col min="7" max="7" width="17.6640625" customWidth="1"/>
  </cols>
  <sheetData>
    <row r="1" spans="1:7" x14ac:dyDescent="0.3">
      <c r="A1" s="29" t="s">
        <v>43</v>
      </c>
      <c r="B1" s="29" t="s">
        <v>44</v>
      </c>
      <c r="C1" s="29" t="s">
        <v>45</v>
      </c>
      <c r="F1" s="91" t="s">
        <v>45</v>
      </c>
      <c r="G1" s="91"/>
    </row>
    <row r="2" spans="1:7" x14ac:dyDescent="0.3">
      <c r="A2" s="41" t="s">
        <v>46</v>
      </c>
      <c r="B2" s="37" t="s">
        <v>50</v>
      </c>
      <c r="C2" s="31">
        <f ca="1">RANDBETWEEN(500, 1000)</f>
        <v>635</v>
      </c>
      <c r="F2" s="35" t="s">
        <v>48</v>
      </c>
      <c r="G2" s="36">
        <f ca="1">SUMIF($A$2:$A$9, F2, $C$2:$C$9)</f>
        <v>1268</v>
      </c>
    </row>
    <row r="3" spans="1:7" x14ac:dyDescent="0.3">
      <c r="A3" s="43" t="s">
        <v>46</v>
      </c>
      <c r="B3" s="39" t="s">
        <v>51</v>
      </c>
      <c r="C3" s="34">
        <f t="shared" ref="C3:C9" ca="1" si="0">RANDBETWEEN(500, 1000)</f>
        <v>544</v>
      </c>
      <c r="F3" s="24" t="s">
        <v>50</v>
      </c>
      <c r="G3" s="24">
        <f ca="1">SUMIFS($C$2:$C$9, $A$2:$A$9, F2, $B$2:$B$9, F3)</f>
        <v>514</v>
      </c>
    </row>
    <row r="4" spans="1:7" x14ac:dyDescent="0.3">
      <c r="A4" s="42" t="s">
        <v>47</v>
      </c>
      <c r="B4" s="38" t="s">
        <v>50</v>
      </c>
      <c r="C4" s="34">
        <f t="shared" ca="1" si="0"/>
        <v>749</v>
      </c>
      <c r="F4" s="24" t="s">
        <v>51</v>
      </c>
      <c r="G4" s="24">
        <f ca="1">SUMIFS($C$2:$C$9, $A$2:$A$9, F2, $B$2:$B$9, F4)</f>
        <v>754</v>
      </c>
    </row>
    <row r="5" spans="1:7" x14ac:dyDescent="0.3">
      <c r="A5" s="43" t="s">
        <v>47</v>
      </c>
      <c r="B5" s="39" t="s">
        <v>51</v>
      </c>
      <c r="C5" s="34">
        <f t="shared" ca="1" si="0"/>
        <v>914</v>
      </c>
      <c r="F5" s="35" t="s">
        <v>46</v>
      </c>
      <c r="G5" s="36">
        <f ca="1">SUMIF($A$2:$A$9, F5, $C$2:$C$9)</f>
        <v>1179</v>
      </c>
    </row>
    <row r="6" spans="1:7" x14ac:dyDescent="0.3">
      <c r="A6" s="42" t="s">
        <v>48</v>
      </c>
      <c r="B6" s="38" t="s">
        <v>50</v>
      </c>
      <c r="C6" s="34">
        <f t="shared" ca="1" si="0"/>
        <v>514</v>
      </c>
      <c r="F6" s="24" t="s">
        <v>50</v>
      </c>
      <c r="G6" s="24">
        <f ca="1">SUMIFS($C$2:$C$9, $A$2:$A$9, F5, $B$2:$B$9, F6)</f>
        <v>635</v>
      </c>
    </row>
    <row r="7" spans="1:7" x14ac:dyDescent="0.3">
      <c r="A7" s="43" t="s">
        <v>48</v>
      </c>
      <c r="B7" s="39" t="s">
        <v>51</v>
      </c>
      <c r="C7" s="34">
        <f t="shared" ca="1" si="0"/>
        <v>754</v>
      </c>
      <c r="F7" s="24" t="s">
        <v>51</v>
      </c>
      <c r="G7" s="24">
        <f ca="1">SUMIFS($C$2:$C$9, $A$2:$A$9, F5, $B$2:$B$9, F7)</f>
        <v>544</v>
      </c>
    </row>
    <row r="8" spans="1:7" x14ac:dyDescent="0.3">
      <c r="A8" s="42" t="s">
        <v>49</v>
      </c>
      <c r="B8" s="38" t="s">
        <v>50</v>
      </c>
      <c r="C8" s="34">
        <f t="shared" ca="1" si="0"/>
        <v>682</v>
      </c>
      <c r="F8" s="35" t="s">
        <v>47</v>
      </c>
      <c r="G8" s="36">
        <f ca="1">SUMIF($A$2:$A$9, F8, $C$2:$C$9)</f>
        <v>1663</v>
      </c>
    </row>
    <row r="9" spans="1:7" x14ac:dyDescent="0.3">
      <c r="A9" s="44" t="s">
        <v>49</v>
      </c>
      <c r="B9" s="40" t="s">
        <v>51</v>
      </c>
      <c r="C9" s="32">
        <f t="shared" ca="1" si="0"/>
        <v>628</v>
      </c>
      <c r="F9" s="24" t="s">
        <v>50</v>
      </c>
      <c r="G9" s="24">
        <f ca="1">SUMIFS($C$2:$C$9, $A$2:$A$9, F8, $B$2:$B$9, F9)</f>
        <v>749</v>
      </c>
    </row>
    <row r="10" spans="1:7" x14ac:dyDescent="0.3">
      <c r="F10" s="24" t="s">
        <v>51</v>
      </c>
      <c r="G10" s="24">
        <f ca="1">SUMIFS($C$2:$C$9, $A$2:$A$9, F8, $B$2:$B$9, F10)</f>
        <v>914</v>
      </c>
    </row>
    <row r="11" spans="1:7" x14ac:dyDescent="0.3">
      <c r="F11" s="35" t="s">
        <v>49</v>
      </c>
      <c r="G11" s="36">
        <f ca="1">SUMIF($A$2:$A$9, F11, $C$2:$C$9)</f>
        <v>1310</v>
      </c>
    </row>
    <row r="12" spans="1:7" x14ac:dyDescent="0.3">
      <c r="F12" s="24" t="s">
        <v>50</v>
      </c>
      <c r="G12" s="24">
        <f ca="1">SUMIFS($C$2:$C$9, $A$2:$A$9, F11, $B$2:$B$9, F12)</f>
        <v>682</v>
      </c>
    </row>
    <row r="13" spans="1:7" x14ac:dyDescent="0.3">
      <c r="F13" s="24" t="s">
        <v>51</v>
      </c>
      <c r="G13" s="24">
        <f ca="1">SUMIFS($C$2:$C$9, $A$2:$A$9, F11, $B$2:$B$9, F13)</f>
        <v>628</v>
      </c>
    </row>
    <row r="14" spans="1:7" x14ac:dyDescent="0.3">
      <c r="F14" s="30" t="s">
        <v>52</v>
      </c>
      <c r="G14" s="33">
        <f ca="1">SUM(G2,G5,G8,G11)</f>
        <v>5420</v>
      </c>
    </row>
  </sheetData>
  <mergeCells count="1">
    <mergeCell ref="F1:G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B70FF-96FA-4025-A517-8BDE3ECE5EBF}">
  <dimension ref="B1:F12"/>
  <sheetViews>
    <sheetView showGridLines="0" workbookViewId="0">
      <selection activeCell="B2" sqref="B2:F9"/>
    </sheetView>
  </sheetViews>
  <sheetFormatPr defaultRowHeight="14.4" x14ac:dyDescent="0.3"/>
  <cols>
    <col min="2" max="2" width="14.88671875" style="45" customWidth="1"/>
    <col min="3" max="3" width="18.44140625" style="45" customWidth="1"/>
    <col min="4" max="4" width="18.6640625" style="45" customWidth="1"/>
    <col min="5" max="5" width="28.5546875" style="45" customWidth="1"/>
    <col min="6" max="6" width="21.88671875" style="45" customWidth="1"/>
  </cols>
  <sheetData>
    <row r="1" spans="2:6" x14ac:dyDescent="0.3">
      <c r="B1" s="46" t="s">
        <v>53</v>
      </c>
      <c r="C1" s="47" t="s">
        <v>54</v>
      </c>
      <c r="D1" s="47" t="s">
        <v>55</v>
      </c>
      <c r="E1" s="48" t="s">
        <v>56</v>
      </c>
      <c r="F1" s="49" t="s">
        <v>57</v>
      </c>
    </row>
    <row r="2" spans="2:6" x14ac:dyDescent="0.3">
      <c r="B2" s="50" t="s">
        <v>58</v>
      </c>
      <c r="C2" s="50" t="s">
        <v>66</v>
      </c>
      <c r="D2" s="50" t="s">
        <v>66</v>
      </c>
      <c r="E2" s="51">
        <v>7000</v>
      </c>
      <c r="F2" s="52">
        <f>DATE(2026, 5, 7)</f>
        <v>46149</v>
      </c>
    </row>
    <row r="3" spans="2:6" x14ac:dyDescent="0.3">
      <c r="B3" s="50" t="s">
        <v>59</v>
      </c>
      <c r="C3" s="50" t="s">
        <v>67</v>
      </c>
      <c r="D3" s="50" t="s">
        <v>67</v>
      </c>
      <c r="E3" s="51">
        <v>6000</v>
      </c>
      <c r="F3" s="52">
        <f>DATE(2026, 6, 6)</f>
        <v>46179</v>
      </c>
    </row>
    <row r="4" spans="2:6" x14ac:dyDescent="0.3">
      <c r="B4" s="50" t="s">
        <v>60</v>
      </c>
      <c r="C4" s="50" t="s">
        <v>68</v>
      </c>
      <c r="D4" s="50" t="s">
        <v>67</v>
      </c>
      <c r="E4" s="51">
        <v>7500</v>
      </c>
      <c r="F4" s="52">
        <f>DATE(2026, 5, 7)</f>
        <v>46149</v>
      </c>
    </row>
    <row r="5" spans="2:6" x14ac:dyDescent="0.3">
      <c r="B5" s="50" t="s">
        <v>61</v>
      </c>
      <c r="C5" s="50" t="s">
        <v>69</v>
      </c>
      <c r="D5" s="50" t="s">
        <v>67</v>
      </c>
      <c r="E5" s="51">
        <v>25000</v>
      </c>
      <c r="F5" s="52">
        <f>DATE(2026, 8, 7)</f>
        <v>46241</v>
      </c>
    </row>
    <row r="6" spans="2:6" x14ac:dyDescent="0.3">
      <c r="B6" s="50" t="s">
        <v>62</v>
      </c>
      <c r="C6" s="50" t="s">
        <v>70</v>
      </c>
      <c r="D6" s="50" t="s">
        <v>66</v>
      </c>
      <c r="E6" s="51">
        <v>10000</v>
      </c>
      <c r="F6" s="52">
        <f>DATE(2026, 9, 7)</f>
        <v>46272</v>
      </c>
    </row>
    <row r="7" spans="2:6" x14ac:dyDescent="0.3">
      <c r="B7" s="50" t="s">
        <v>63</v>
      </c>
      <c r="C7" s="50" t="s">
        <v>71</v>
      </c>
      <c r="D7" s="50" t="s">
        <v>67</v>
      </c>
      <c r="E7" s="51">
        <v>60000</v>
      </c>
      <c r="F7" s="52">
        <f>DATE(2026, 10, 5)</f>
        <v>46300</v>
      </c>
    </row>
    <row r="8" spans="2:6" x14ac:dyDescent="0.3">
      <c r="B8" s="50" t="s">
        <v>64</v>
      </c>
      <c r="C8" s="50" t="s">
        <v>72</v>
      </c>
      <c r="D8" s="50" t="s">
        <v>68</v>
      </c>
      <c r="E8" s="51">
        <v>50000</v>
      </c>
      <c r="F8" s="52">
        <f>DATE(2026, 4, 7)</f>
        <v>46119</v>
      </c>
    </row>
    <row r="9" spans="2:6" x14ac:dyDescent="0.3">
      <c r="B9" s="53" t="s">
        <v>65</v>
      </c>
      <c r="C9" s="53" t="s">
        <v>73</v>
      </c>
      <c r="D9" s="53" t="s">
        <v>68</v>
      </c>
      <c r="E9" s="54">
        <v>15000</v>
      </c>
      <c r="F9" s="55">
        <f>DATE(2026, 5, 8)</f>
        <v>46150</v>
      </c>
    </row>
    <row r="12" spans="2:6" x14ac:dyDescent="0.3">
      <c r="C12" s="92" t="s">
        <v>74</v>
      </c>
      <c r="D12" s="92"/>
      <c r="E12" s="56">
        <f>SUM(JLoka_Investors[INVESTMENT AMOUNT (USD)])</f>
        <v>180500</v>
      </c>
    </row>
  </sheetData>
  <sortState xmlns:xlrd2="http://schemas.microsoft.com/office/spreadsheetml/2017/richdata2" ref="B2:F9">
    <sortCondition descending="1" ref="E2:E9"/>
  </sortState>
  <mergeCells count="1">
    <mergeCell ref="C12:D12"/>
  </mergeCells>
  <phoneticPr fontId="3" type="noConversion"/>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D3323-DAD4-4089-9A46-7712A3CF5F64}">
  <dimension ref="B2:F14"/>
  <sheetViews>
    <sheetView showGridLines="0" workbookViewId="0">
      <selection activeCell="D7" sqref="D7"/>
    </sheetView>
  </sheetViews>
  <sheetFormatPr defaultRowHeight="14.4" x14ac:dyDescent="0.3"/>
  <cols>
    <col min="2" max="2" width="9.5546875" bestFit="1" customWidth="1"/>
    <col min="3" max="5" width="12.6640625" bestFit="1" customWidth="1"/>
  </cols>
  <sheetData>
    <row r="2" spans="2:6" ht="18" x14ac:dyDescent="0.35">
      <c r="B2" s="93" t="s">
        <v>75</v>
      </c>
      <c r="C2" s="93"/>
      <c r="D2" s="93"/>
      <c r="E2" s="93"/>
      <c r="F2" s="57"/>
    </row>
    <row r="3" spans="2:6" s="57" customFormat="1" x14ac:dyDescent="0.3">
      <c r="B3" s="57" t="s">
        <v>76</v>
      </c>
      <c r="C3" s="57" t="s">
        <v>77</v>
      </c>
      <c r="D3" s="57" t="s">
        <v>78</v>
      </c>
      <c r="E3" s="57" t="s">
        <v>79</v>
      </c>
    </row>
    <row r="4" spans="2:6" x14ac:dyDescent="0.3">
      <c r="B4">
        <v>2011</v>
      </c>
      <c r="C4" s="3">
        <f ca="1">RAND()</f>
        <v>0.20059331458471186</v>
      </c>
      <c r="D4" s="3">
        <f t="shared" ref="D4:E4" ca="1" si="0">RAND()</f>
        <v>0.1002504986995838</v>
      </c>
      <c r="E4" s="3">
        <f t="shared" ca="1" si="0"/>
        <v>0.19382124045866378</v>
      </c>
    </row>
    <row r="5" spans="2:6" x14ac:dyDescent="0.3">
      <c r="B5">
        <v>2012</v>
      </c>
      <c r="C5" s="3">
        <f t="shared" ref="C5:E14" ca="1" si="1">RAND()</f>
        <v>0.94441785918024312</v>
      </c>
      <c r="D5" s="3">
        <f t="shared" ca="1" si="1"/>
        <v>0.21260315046420197</v>
      </c>
      <c r="E5" s="3">
        <f t="shared" ca="1" si="1"/>
        <v>0.42167031427975654</v>
      </c>
    </row>
    <row r="6" spans="2:6" x14ac:dyDescent="0.3">
      <c r="B6">
        <v>2013</v>
      </c>
      <c r="C6" s="3">
        <f t="shared" ca="1" si="1"/>
        <v>8.6915784118192341E-2</v>
      </c>
      <c r="D6" s="3">
        <f t="shared" ca="1" si="1"/>
        <v>0.995673661150418</v>
      </c>
      <c r="E6" s="3">
        <f t="shared" ca="1" si="1"/>
        <v>0.52662624457069562</v>
      </c>
    </row>
    <row r="7" spans="2:6" x14ac:dyDescent="0.3">
      <c r="B7">
        <v>2014</v>
      </c>
      <c r="C7" s="3">
        <f t="shared" ca="1" si="1"/>
        <v>0.11100161243085194</v>
      </c>
      <c r="D7" s="3">
        <f t="shared" ca="1" si="1"/>
        <v>0.73304382628663689</v>
      </c>
      <c r="E7" s="3">
        <f t="shared" ca="1" si="1"/>
        <v>0.85318437891805488</v>
      </c>
    </row>
    <row r="8" spans="2:6" x14ac:dyDescent="0.3">
      <c r="B8">
        <v>2015</v>
      </c>
      <c r="C8" s="3">
        <f t="shared" ca="1" si="1"/>
        <v>0.66699718988218426</v>
      </c>
      <c r="D8" s="3">
        <f t="shared" ca="1" si="1"/>
        <v>0.97227422532088059</v>
      </c>
      <c r="E8" s="3">
        <f t="shared" ca="1" si="1"/>
        <v>0.32314197933022382</v>
      </c>
    </row>
    <row r="9" spans="2:6" x14ac:dyDescent="0.3">
      <c r="B9">
        <v>2016</v>
      </c>
      <c r="C9" s="3">
        <f t="shared" ca="1" si="1"/>
        <v>0.24966708871427501</v>
      </c>
      <c r="D9" s="3">
        <f t="shared" ca="1" si="1"/>
        <v>0.94142684597969861</v>
      </c>
      <c r="E9" s="3">
        <f t="shared" ca="1" si="1"/>
        <v>0.32787160268776661</v>
      </c>
    </row>
    <row r="10" spans="2:6" x14ac:dyDescent="0.3">
      <c r="B10">
        <v>2017</v>
      </c>
      <c r="C10" s="3">
        <f t="shared" ca="1" si="1"/>
        <v>0.87754600403962557</v>
      </c>
      <c r="D10" s="3">
        <f t="shared" ca="1" si="1"/>
        <v>0.21421877494508046</v>
      </c>
      <c r="E10" s="3">
        <f t="shared" ca="1" si="1"/>
        <v>0.83752860892351155</v>
      </c>
    </row>
    <row r="11" spans="2:6" x14ac:dyDescent="0.3">
      <c r="B11">
        <v>2018</v>
      </c>
      <c r="C11" s="3">
        <f t="shared" ca="1" si="1"/>
        <v>0.73911835572370288</v>
      </c>
      <c r="D11" s="3">
        <f t="shared" ca="1" si="1"/>
        <v>0.60395122269160229</v>
      </c>
      <c r="E11" s="3">
        <f t="shared" ca="1" si="1"/>
        <v>0.48903074525455303</v>
      </c>
    </row>
    <row r="12" spans="2:6" x14ac:dyDescent="0.3">
      <c r="B12">
        <v>2019</v>
      </c>
      <c r="C12" s="3">
        <f t="shared" ca="1" si="1"/>
        <v>0.85505503648803938</v>
      </c>
      <c r="D12" s="3">
        <f t="shared" ca="1" si="1"/>
        <v>9.4180672280433919E-3</v>
      </c>
      <c r="E12" s="3">
        <f t="shared" ca="1" si="1"/>
        <v>0.77870766035609584</v>
      </c>
    </row>
    <row r="13" spans="2:6" x14ac:dyDescent="0.3">
      <c r="B13">
        <v>2020</v>
      </c>
      <c r="C13" s="3">
        <f t="shared" ca="1" si="1"/>
        <v>0.91854943503885156</v>
      </c>
      <c r="D13" s="3">
        <f t="shared" ca="1" si="1"/>
        <v>0.49813295330831853</v>
      </c>
      <c r="E13" s="3">
        <f t="shared" ca="1" si="1"/>
        <v>0.4116528241380023</v>
      </c>
    </row>
    <row r="14" spans="2:6" x14ac:dyDescent="0.3">
      <c r="B14">
        <v>2021</v>
      </c>
      <c r="C14" s="3">
        <f t="shared" ca="1" si="1"/>
        <v>0.53303090978041279</v>
      </c>
      <c r="D14" s="3">
        <f t="shared" ca="1" si="1"/>
        <v>0.65868576205753238</v>
      </c>
      <c r="E14" s="3">
        <f t="shared" ca="1" si="1"/>
        <v>0.64940899731822843</v>
      </c>
    </row>
  </sheetData>
  <mergeCells count="1">
    <mergeCell ref="B2:E2"/>
  </mergeCells>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21280-4213-4B53-9A0B-5F17D269CBD8}">
  <dimension ref="B2:C6"/>
  <sheetViews>
    <sheetView workbookViewId="0">
      <selection activeCell="C6" sqref="C6"/>
    </sheetView>
  </sheetViews>
  <sheetFormatPr defaultRowHeight="14.4" x14ac:dyDescent="0.3"/>
  <cols>
    <col min="2" max="2" width="18" customWidth="1"/>
    <col min="3" max="3" width="20.44140625" customWidth="1"/>
  </cols>
  <sheetData>
    <row r="2" spans="2:3" x14ac:dyDescent="0.3">
      <c r="B2" t="s">
        <v>80</v>
      </c>
      <c r="C2" t="s">
        <v>81</v>
      </c>
    </row>
    <row r="3" spans="2:3" x14ac:dyDescent="0.3">
      <c r="B3" t="s">
        <v>82</v>
      </c>
      <c r="C3" s="58">
        <v>0.60699999999999998</v>
      </c>
    </row>
    <row r="4" spans="2:3" x14ac:dyDescent="0.3">
      <c r="B4" t="s">
        <v>83</v>
      </c>
      <c r="C4" s="58">
        <v>0.29299999999999998</v>
      </c>
    </row>
    <row r="5" spans="2:3" x14ac:dyDescent="0.3">
      <c r="B5" t="s">
        <v>84</v>
      </c>
      <c r="C5" s="58">
        <v>6.5000000000000002E-2</v>
      </c>
    </row>
    <row r="6" spans="2:3" x14ac:dyDescent="0.3">
      <c r="B6" t="s">
        <v>85</v>
      </c>
      <c r="C6" s="58">
        <v>3.5000000000000003E-2</v>
      </c>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9EEF3-DE7A-4CAA-BA1C-C8A88C9A4643}">
  <dimension ref="B2:G8"/>
  <sheetViews>
    <sheetView workbookViewId="0">
      <selection activeCell="G5" sqref="G5"/>
    </sheetView>
  </sheetViews>
  <sheetFormatPr defaultRowHeight="14.4" x14ac:dyDescent="0.3"/>
  <cols>
    <col min="2" max="4" width="17.109375" customWidth="1"/>
    <col min="5" max="5" width="22" customWidth="1"/>
    <col min="6" max="6" width="17.109375" customWidth="1"/>
    <col min="7" max="7" width="28.77734375" customWidth="1"/>
  </cols>
  <sheetData>
    <row r="2" spans="2:7" x14ac:dyDescent="0.3">
      <c r="B2" s="57" t="s">
        <v>86</v>
      </c>
      <c r="C2" s="57" t="s">
        <v>87</v>
      </c>
      <c r="D2" s="57" t="s">
        <v>88</v>
      </c>
      <c r="E2" s="57" t="s">
        <v>89</v>
      </c>
      <c r="F2" s="57" t="s">
        <v>90</v>
      </c>
      <c r="G2" s="57" t="s">
        <v>91</v>
      </c>
    </row>
    <row r="3" spans="2:7" x14ac:dyDescent="0.3">
      <c r="B3" s="57" t="s">
        <v>92</v>
      </c>
      <c r="C3" s="57">
        <v>720</v>
      </c>
      <c r="D3" s="59">
        <v>20000</v>
      </c>
      <c r="E3" s="57" t="s">
        <v>98</v>
      </c>
      <c r="F3" t="str">
        <f>IF(Table5[[#This Row],[Credit Score]]&gt;700, "Yes", "No")</f>
        <v>Yes</v>
      </c>
      <c r="G3" s="57" t="str">
        <f>IF(OR(Table5[[#This Row],[Good Credit?]]="Yes", Table5[[#This Row],[Employement Status]]="Full-Time"), "Approved", IF(AND(C3&gt;650, Table5[[#This Row],[Loan Amount]]&lt;12000), "Approved", "Denied"))</f>
        <v>Approved</v>
      </c>
    </row>
    <row r="4" spans="2:7" x14ac:dyDescent="0.3">
      <c r="B4" s="57" t="s">
        <v>93</v>
      </c>
      <c r="C4" s="57">
        <v>680</v>
      </c>
      <c r="D4" s="59">
        <v>15000</v>
      </c>
      <c r="E4" s="57" t="s">
        <v>99</v>
      </c>
      <c r="F4" t="str">
        <f>IF(Table5[[#This Row],[Credit Score]]&gt;700, "Yes", "No")</f>
        <v>No</v>
      </c>
      <c r="G4" s="57" t="str">
        <f>IF(OR(Table5[[#This Row],[Good Credit?]]="Yes", Table5[[#This Row],[Employement Status]]="Full-Time"), "Approved", IF(AND(C4&gt;650, Table5[[#This Row],[Loan Amount]]&lt;12000), "Approved", "Denied"))</f>
        <v>Denied</v>
      </c>
    </row>
    <row r="5" spans="2:7" x14ac:dyDescent="0.3">
      <c r="B5" s="57" t="s">
        <v>94</v>
      </c>
      <c r="C5" s="57">
        <v>750</v>
      </c>
      <c r="D5" s="59">
        <v>25000</v>
      </c>
      <c r="E5" s="57" t="s">
        <v>98</v>
      </c>
      <c r="F5" t="str">
        <f>IF(Table5[[#This Row],[Credit Score]]&gt;700, "Yes", "No")</f>
        <v>Yes</v>
      </c>
      <c r="G5" s="57" t="str">
        <f>IF(OR(Table5[[#This Row],[Good Credit?]]="Yes", Table5[[#This Row],[Employement Status]]="Full-Time"), "Approved", IF(AND(C5&gt;650, Table5[[#This Row],[Loan Amount]]&lt;12000), "Approved", "Denied"))</f>
        <v>Approved</v>
      </c>
    </row>
    <row r="6" spans="2:7" x14ac:dyDescent="0.3">
      <c r="B6" s="57" t="s">
        <v>95</v>
      </c>
      <c r="C6" s="57">
        <v>640</v>
      </c>
      <c r="D6" s="59">
        <v>10000</v>
      </c>
      <c r="E6" s="57" t="s">
        <v>100</v>
      </c>
      <c r="F6" t="str">
        <f>IF(Table5[[#This Row],[Credit Score]]&gt;700, "Yes", "No")</f>
        <v>No</v>
      </c>
      <c r="G6" s="57" t="str">
        <f>IF(OR(Table5[[#This Row],[Good Credit?]]="Yes", Table5[[#This Row],[Employement Status]]="Full-Time"), "Approved", IF(AND(C6&gt;650, Table5[[#This Row],[Loan Amount]]&lt;12000), "Approved", "Denied"))</f>
        <v>Denied</v>
      </c>
    </row>
    <row r="7" spans="2:7" x14ac:dyDescent="0.3">
      <c r="B7" s="57" t="s">
        <v>96</v>
      </c>
      <c r="C7" s="57">
        <v>660</v>
      </c>
      <c r="D7" s="59">
        <v>10000</v>
      </c>
      <c r="E7" s="57" t="s">
        <v>99</v>
      </c>
      <c r="F7" t="str">
        <f>IF(Table5[[#This Row],[Credit Score]]&gt;700, "Yes", "No")</f>
        <v>No</v>
      </c>
      <c r="G7" s="57" t="str">
        <f>IF(OR(Table5[[#This Row],[Good Credit?]]="Yes", Table5[[#This Row],[Employement Status]]="Full-Time"), "Approved", IF(AND(C7&gt;650, Table5[[#This Row],[Loan Amount]]&lt;12000), "Approved", "Denied"))</f>
        <v>Approved</v>
      </c>
    </row>
    <row r="8" spans="2:7" x14ac:dyDescent="0.3">
      <c r="B8" s="57" t="s">
        <v>97</v>
      </c>
      <c r="C8" s="57">
        <v>710</v>
      </c>
      <c r="D8" s="59">
        <v>18000</v>
      </c>
      <c r="E8" s="57" t="s">
        <v>99</v>
      </c>
      <c r="F8" t="str">
        <f>IF(Table5[[#This Row],[Credit Score]]&gt;700, "Yes", "No")</f>
        <v>Yes</v>
      </c>
      <c r="G8" s="57" t="str">
        <f>IF(OR(Table5[[#This Row],[Good Credit?]]="Yes", Table5[[#This Row],[Employement Status]]="Full-Time"), "Approved", IF(AND(C8&gt;650, Table5[[#This Row],[Loan Amount]]&lt;12000), "Approved", "Denied"))</f>
        <v>Approved</v>
      </c>
    </row>
  </sheetData>
  <phoneticPr fontId="3" type="noConversion"/>
  <conditionalFormatting sqref="C3:C8">
    <cfRule type="expression" dxfId="2" priority="3">
      <formula>$F3="Yes"</formula>
    </cfRule>
  </conditionalFormatting>
  <conditionalFormatting sqref="G3:G8">
    <cfRule type="cellIs" dxfId="1" priority="2" operator="equal">
      <formula>"Approved"</formula>
    </cfRule>
  </conditionalFormatting>
  <conditionalFormatting sqref="G4:G8">
    <cfRule type="cellIs" dxfId="0" priority="1" operator="equal">
      <formula>"Denied"</formula>
    </cfRule>
  </conditionalFormatting>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D486A-352E-4CA0-80E8-EAB3033E6718}">
  <dimension ref="B2:I12"/>
  <sheetViews>
    <sheetView workbookViewId="0">
      <selection activeCell="H4" sqref="H4"/>
    </sheetView>
  </sheetViews>
  <sheetFormatPr defaultRowHeight="14.4" x14ac:dyDescent="0.3"/>
  <cols>
    <col min="2" max="2" width="11" customWidth="1"/>
    <col min="3" max="3" width="13.6640625" customWidth="1"/>
    <col min="4" max="4" width="13.109375" customWidth="1"/>
    <col min="5" max="5" width="15" customWidth="1"/>
    <col min="7" max="7" width="19.88671875" customWidth="1"/>
    <col min="8" max="8" width="18" customWidth="1"/>
    <col min="9" max="9" width="20" customWidth="1"/>
  </cols>
  <sheetData>
    <row r="2" spans="2:9" x14ac:dyDescent="0.3">
      <c r="B2" s="57" t="s">
        <v>101</v>
      </c>
      <c r="C2" s="57" t="s">
        <v>102</v>
      </c>
      <c r="D2" s="57" t="s">
        <v>103</v>
      </c>
      <c r="E2" s="57" t="s">
        <v>104</v>
      </c>
      <c r="G2" s="57" t="s">
        <v>101</v>
      </c>
      <c r="H2" s="57" t="s">
        <v>103</v>
      </c>
      <c r="I2" s="57" t="s">
        <v>104</v>
      </c>
    </row>
    <row r="3" spans="2:9" x14ac:dyDescent="0.3">
      <c r="B3" t="s">
        <v>77</v>
      </c>
      <c r="C3" t="s">
        <v>106</v>
      </c>
      <c r="D3" s="2">
        <f ca="1">RANDBETWEEN(250, 3200)</f>
        <v>2863</v>
      </c>
      <c r="E3" s="60">
        <f ca="1">RANDBETWEEN(0, 2)</f>
        <v>1</v>
      </c>
      <c r="G3" t="s">
        <v>77</v>
      </c>
      <c r="H3" s="2">
        <f ca="1">VLOOKUP($G3, Table1[], 3, FALSE)</f>
        <v>2863</v>
      </c>
      <c r="I3" s="2">
        <f ca="1">VLOOKUP($G3, Table1[], 4, FALSE)</f>
        <v>1</v>
      </c>
    </row>
    <row r="4" spans="2:9" x14ac:dyDescent="0.3">
      <c r="B4" t="s">
        <v>78</v>
      </c>
      <c r="C4" t="s">
        <v>107</v>
      </c>
      <c r="D4" s="2">
        <f t="shared" ref="D4:D12" ca="1" si="0">RANDBETWEEN(250, 3200)</f>
        <v>3174</v>
      </c>
      <c r="E4" s="60">
        <f t="shared" ref="E4:E12" ca="1" si="1">RANDBETWEEN(0, 2)</f>
        <v>2</v>
      </c>
      <c r="G4" t="s">
        <v>78</v>
      </c>
      <c r="H4" s="2">
        <f ca="1">VLOOKUP($G4, Table1[], 3, FALSE)</f>
        <v>3174</v>
      </c>
      <c r="I4" s="2">
        <f ca="1">VLOOKUP($G4, Table1[], 4, FALSE)</f>
        <v>2</v>
      </c>
    </row>
    <row r="5" spans="2:9" x14ac:dyDescent="0.3">
      <c r="B5" t="s">
        <v>77</v>
      </c>
      <c r="C5" t="s">
        <v>108</v>
      </c>
      <c r="D5" s="2">
        <f t="shared" ca="1" si="0"/>
        <v>411</v>
      </c>
      <c r="E5" s="60">
        <f t="shared" ca="1" si="1"/>
        <v>0</v>
      </c>
      <c r="G5" t="s">
        <v>79</v>
      </c>
      <c r="H5" s="2">
        <f ca="1">VLOOKUP($G5, Table1[], 3, FALSE)</f>
        <v>796</v>
      </c>
      <c r="I5" s="2">
        <f ca="1">VLOOKUP($G5, Table1[], 4, FALSE)</f>
        <v>2</v>
      </c>
    </row>
    <row r="6" spans="2:9" x14ac:dyDescent="0.3">
      <c r="B6" t="s">
        <v>78</v>
      </c>
      <c r="C6" t="s">
        <v>109</v>
      </c>
      <c r="D6" s="2">
        <f t="shared" ca="1" si="0"/>
        <v>955</v>
      </c>
      <c r="E6" s="60">
        <f t="shared" ca="1" si="1"/>
        <v>0</v>
      </c>
      <c r="G6" t="s">
        <v>105</v>
      </c>
      <c r="H6" s="2">
        <f ca="1">VLOOKUP($G6, Table1[], 3, FALSE)</f>
        <v>1621</v>
      </c>
      <c r="I6" s="2">
        <f ca="1">VLOOKUP($G6, Table1[], 4, FALSE)</f>
        <v>1</v>
      </c>
    </row>
    <row r="7" spans="2:9" x14ac:dyDescent="0.3">
      <c r="B7" t="s">
        <v>77</v>
      </c>
      <c r="C7" t="s">
        <v>110</v>
      </c>
      <c r="D7" s="2">
        <f t="shared" ca="1" si="0"/>
        <v>1387</v>
      </c>
      <c r="E7" s="60">
        <f t="shared" ca="1" si="1"/>
        <v>2</v>
      </c>
    </row>
    <row r="8" spans="2:9" x14ac:dyDescent="0.3">
      <c r="B8" t="s">
        <v>79</v>
      </c>
      <c r="C8" t="s">
        <v>111</v>
      </c>
      <c r="D8" s="2">
        <f t="shared" ca="1" si="0"/>
        <v>796</v>
      </c>
      <c r="E8" s="60">
        <f t="shared" ca="1" si="1"/>
        <v>2</v>
      </c>
    </row>
    <row r="9" spans="2:9" x14ac:dyDescent="0.3">
      <c r="B9" t="s">
        <v>77</v>
      </c>
      <c r="C9" t="s">
        <v>112</v>
      </c>
      <c r="D9" s="2">
        <f t="shared" ca="1" si="0"/>
        <v>2712</v>
      </c>
      <c r="E9" s="60">
        <f t="shared" ca="1" si="1"/>
        <v>1</v>
      </c>
    </row>
    <row r="10" spans="2:9" x14ac:dyDescent="0.3">
      <c r="B10" t="s">
        <v>79</v>
      </c>
      <c r="C10" t="s">
        <v>113</v>
      </c>
      <c r="D10" s="2">
        <f t="shared" ca="1" si="0"/>
        <v>3181</v>
      </c>
      <c r="E10" s="60">
        <f t="shared" ca="1" si="1"/>
        <v>2</v>
      </c>
    </row>
    <row r="11" spans="2:9" x14ac:dyDescent="0.3">
      <c r="B11" t="s">
        <v>105</v>
      </c>
      <c r="C11" t="s">
        <v>114</v>
      </c>
      <c r="D11" s="2">
        <f t="shared" ca="1" si="0"/>
        <v>1621</v>
      </c>
      <c r="E11" s="60">
        <f t="shared" ca="1" si="1"/>
        <v>1</v>
      </c>
    </row>
    <row r="12" spans="2:9" x14ac:dyDescent="0.3">
      <c r="B12" t="s">
        <v>79</v>
      </c>
      <c r="C12" t="s">
        <v>115</v>
      </c>
      <c r="D12" s="2">
        <f t="shared" ca="1" si="0"/>
        <v>2361</v>
      </c>
      <c r="E12" s="60">
        <f t="shared" ca="1" si="1"/>
        <v>1</v>
      </c>
    </row>
  </sheetData>
  <phoneticPr fontId="3" type="noConversion"/>
  <pageMargins left="0.7" right="0.7" top="0.75" bottom="0.75" header="0.3" footer="0.3"/>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46ECA-6E1C-4031-BB27-C674131C97A8}">
  <dimension ref="B2:I12"/>
  <sheetViews>
    <sheetView workbookViewId="0">
      <selection activeCell="H3" sqref="H3"/>
    </sheetView>
  </sheetViews>
  <sheetFormatPr defaultRowHeight="14.4" x14ac:dyDescent="0.3"/>
  <cols>
    <col min="2" max="2" width="11" customWidth="1"/>
    <col min="3" max="3" width="13.6640625" customWidth="1"/>
    <col min="4" max="4" width="13.109375" customWidth="1"/>
    <col min="5" max="5" width="15" customWidth="1"/>
    <col min="7" max="7" width="19.88671875" customWidth="1"/>
    <col min="8" max="8" width="18" customWidth="1"/>
    <col min="9" max="9" width="20" customWidth="1"/>
  </cols>
  <sheetData>
    <row r="2" spans="2:9" x14ac:dyDescent="0.3">
      <c r="B2" s="57" t="s">
        <v>101</v>
      </c>
      <c r="C2" s="57" t="s">
        <v>102</v>
      </c>
      <c r="D2" s="57" t="s">
        <v>103</v>
      </c>
      <c r="E2" s="57" t="s">
        <v>104</v>
      </c>
      <c r="G2" s="57" t="s">
        <v>101</v>
      </c>
      <c r="H2" s="57" t="s">
        <v>103</v>
      </c>
      <c r="I2" s="57" t="s">
        <v>104</v>
      </c>
    </row>
    <row r="3" spans="2:9" x14ac:dyDescent="0.3">
      <c r="B3" t="s">
        <v>77</v>
      </c>
      <c r="C3" t="s">
        <v>106</v>
      </c>
      <c r="D3" s="2">
        <f ca="1">RANDBETWEEN(250, 3200)</f>
        <v>1466</v>
      </c>
      <c r="E3" s="60">
        <f ca="1">RANDBETWEEN(0, 2)</f>
        <v>1</v>
      </c>
      <c r="G3" t="s">
        <v>77</v>
      </c>
      <c r="H3" s="2">
        <f ca="1">_xlfn.XLOOKUP(Table69[[#This Row],[Ticker]], Table18[Ticker], Table18[Price], "Missing")</f>
        <v>1466</v>
      </c>
      <c r="I3" s="2">
        <f ca="1">_xlfn.XLOOKUP(Table69[[#This Row],[Ticker]], Table18[Ticker], Table18[Dividend], "Missing")</f>
        <v>1</v>
      </c>
    </row>
    <row r="4" spans="2:9" x14ac:dyDescent="0.3">
      <c r="B4" t="s">
        <v>78</v>
      </c>
      <c r="C4" t="s">
        <v>107</v>
      </c>
      <c r="D4" s="2">
        <f t="shared" ref="D4:D12" ca="1" si="0">RANDBETWEEN(250, 3200)</f>
        <v>1030</v>
      </c>
      <c r="E4" s="60">
        <f t="shared" ref="E4:E12" ca="1" si="1">RANDBETWEEN(0, 2)</f>
        <v>2</v>
      </c>
      <c r="G4" t="s">
        <v>78</v>
      </c>
      <c r="H4" s="2">
        <f ca="1">_xlfn.XLOOKUP(Table69[[#This Row],[Ticker]], Table18[Ticker], Table18[Price], "Missing")</f>
        <v>1030</v>
      </c>
      <c r="I4" s="2">
        <f ca="1">_xlfn.XLOOKUP(Table69[[#This Row],[Ticker]], Table18[Ticker], Table18[Dividend], "Missing")</f>
        <v>2</v>
      </c>
    </row>
    <row r="5" spans="2:9" x14ac:dyDescent="0.3">
      <c r="B5" t="s">
        <v>77</v>
      </c>
      <c r="C5" t="s">
        <v>108</v>
      </c>
      <c r="D5" s="2">
        <f t="shared" ca="1" si="0"/>
        <v>3033</v>
      </c>
      <c r="E5" s="60">
        <f t="shared" ca="1" si="1"/>
        <v>2</v>
      </c>
      <c r="G5" t="s">
        <v>79</v>
      </c>
      <c r="H5" s="2">
        <f ca="1">_xlfn.XLOOKUP(Table69[[#This Row],[Ticker]], Table18[Ticker], Table18[Price], "Missing")</f>
        <v>769</v>
      </c>
      <c r="I5" s="2">
        <f ca="1">_xlfn.XLOOKUP(Table69[[#This Row],[Ticker]], Table18[Ticker], Table18[Dividend], "Missing")</f>
        <v>1</v>
      </c>
    </row>
    <row r="6" spans="2:9" x14ac:dyDescent="0.3">
      <c r="B6" t="s">
        <v>78</v>
      </c>
      <c r="C6" t="s">
        <v>109</v>
      </c>
      <c r="D6" s="2">
        <f t="shared" ca="1" si="0"/>
        <v>333</v>
      </c>
      <c r="E6" s="60">
        <f t="shared" ca="1" si="1"/>
        <v>1</v>
      </c>
      <c r="G6" t="s">
        <v>105</v>
      </c>
      <c r="H6" s="2">
        <f ca="1">_xlfn.XLOOKUP(Table69[[#This Row],[Ticker]], Table18[Ticker], Table18[Price], "Missing")</f>
        <v>625</v>
      </c>
      <c r="I6" s="2">
        <f ca="1">_xlfn.XLOOKUP(Table69[[#This Row],[Ticker]], Table18[Ticker], Table18[Dividend], "Missing")</f>
        <v>2</v>
      </c>
    </row>
    <row r="7" spans="2:9" x14ac:dyDescent="0.3">
      <c r="B7" t="s">
        <v>77</v>
      </c>
      <c r="C7" t="s">
        <v>110</v>
      </c>
      <c r="D7" s="2">
        <f t="shared" ca="1" si="0"/>
        <v>3181</v>
      </c>
      <c r="E7" s="60">
        <f t="shared" ca="1" si="1"/>
        <v>1</v>
      </c>
    </row>
    <row r="8" spans="2:9" x14ac:dyDescent="0.3">
      <c r="B8" t="s">
        <v>79</v>
      </c>
      <c r="C8" t="s">
        <v>111</v>
      </c>
      <c r="D8" s="2">
        <f t="shared" ca="1" si="0"/>
        <v>769</v>
      </c>
      <c r="E8" s="60">
        <f t="shared" ca="1" si="1"/>
        <v>1</v>
      </c>
    </row>
    <row r="9" spans="2:9" x14ac:dyDescent="0.3">
      <c r="B9" t="s">
        <v>77</v>
      </c>
      <c r="C9" t="s">
        <v>112</v>
      </c>
      <c r="D9" s="2">
        <f t="shared" ca="1" si="0"/>
        <v>2455</v>
      </c>
      <c r="E9" s="60">
        <f t="shared" ca="1" si="1"/>
        <v>1</v>
      </c>
    </row>
    <row r="10" spans="2:9" x14ac:dyDescent="0.3">
      <c r="B10" t="s">
        <v>79</v>
      </c>
      <c r="C10" t="s">
        <v>113</v>
      </c>
      <c r="D10" s="2">
        <f t="shared" ca="1" si="0"/>
        <v>2949</v>
      </c>
      <c r="E10" s="60">
        <f t="shared" ca="1" si="1"/>
        <v>2</v>
      </c>
    </row>
    <row r="11" spans="2:9" x14ac:dyDescent="0.3">
      <c r="B11" t="s">
        <v>105</v>
      </c>
      <c r="C11" t="s">
        <v>114</v>
      </c>
      <c r="D11" s="2">
        <f t="shared" ca="1" si="0"/>
        <v>625</v>
      </c>
      <c r="E11" s="60">
        <f t="shared" ca="1" si="1"/>
        <v>2</v>
      </c>
    </row>
    <row r="12" spans="2:9" x14ac:dyDescent="0.3">
      <c r="B12" t="s">
        <v>79</v>
      </c>
      <c r="C12" t="s">
        <v>115</v>
      </c>
      <c r="D12" s="2">
        <f t="shared" ca="1" si="0"/>
        <v>2842</v>
      </c>
      <c r="E12" s="60">
        <f t="shared" ca="1" si="1"/>
        <v>1</v>
      </c>
    </row>
  </sheetData>
  <pageMargins left="0.7" right="0.7" top="0.75" bottom="0.75" header="0.3" footer="0.3"/>
  <tableParts count="2">
    <tablePart r:id="rId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1371C-14AF-4334-8E19-C4A01FA044F1}">
  <dimension ref="B2:M8"/>
  <sheetViews>
    <sheetView workbookViewId="0">
      <selection activeCell="M3" sqref="M3"/>
    </sheetView>
  </sheetViews>
  <sheetFormatPr defaultRowHeight="14.4" x14ac:dyDescent="0.3"/>
  <cols>
    <col min="3" max="5" width="9.33203125" bestFit="1" customWidth="1"/>
    <col min="6" max="7" width="10.5546875" bestFit="1" customWidth="1"/>
    <col min="12" max="12" width="15.109375" customWidth="1"/>
    <col min="13" max="13" width="26.109375" customWidth="1"/>
  </cols>
  <sheetData>
    <row r="2" spans="2:13" x14ac:dyDescent="0.3">
      <c r="B2" s="63" t="s">
        <v>116</v>
      </c>
      <c r="C2" s="63" t="s">
        <v>117</v>
      </c>
      <c r="D2" s="63" t="s">
        <v>118</v>
      </c>
      <c r="E2" s="63" t="s">
        <v>119</v>
      </c>
      <c r="F2" s="63" t="s">
        <v>120</v>
      </c>
      <c r="G2" s="63" t="s">
        <v>121</v>
      </c>
      <c r="I2" s="64" t="s">
        <v>116</v>
      </c>
      <c r="J2" s="64" t="s">
        <v>122</v>
      </c>
      <c r="K2" s="64" t="s">
        <v>123</v>
      </c>
      <c r="L2" s="64" t="s">
        <v>124</v>
      </c>
      <c r="M2" s="64" t="s">
        <v>103</v>
      </c>
    </row>
    <row r="3" spans="2:13" x14ac:dyDescent="0.3">
      <c r="B3" s="65">
        <v>46045</v>
      </c>
      <c r="C3" s="62">
        <f ca="1">RANDBETWEEN(120, 150)</f>
        <v>131</v>
      </c>
      <c r="D3" s="62">
        <f ca="1">RANDBETWEEN(210, 260)</f>
        <v>247</v>
      </c>
      <c r="E3" s="62">
        <f ca="1">RANDBETWEEN(330, 380)</f>
        <v>379</v>
      </c>
      <c r="F3" s="62">
        <v>1250</v>
      </c>
      <c r="G3" s="62">
        <v>2350</v>
      </c>
      <c r="I3" s="65">
        <v>46076</v>
      </c>
      <c r="J3" s="61" t="s">
        <v>119</v>
      </c>
      <c r="K3" s="61">
        <f>MATCH(I3, $B$3:$B$8,0)</f>
        <v>2</v>
      </c>
      <c r="L3" s="61">
        <f>MATCH(J3,$C$2:$G$2,0)</f>
        <v>3</v>
      </c>
      <c r="M3" s="62" cm="1">
        <f t="array" aca="1" ref="M3" ca="1">INDEX($C$3:$G$8, K3,L3)</f>
        <v>377</v>
      </c>
    </row>
    <row r="4" spans="2:13" x14ac:dyDescent="0.3">
      <c r="B4" s="65">
        <v>46076</v>
      </c>
      <c r="C4" s="62">
        <f t="shared" ref="C4:C8" ca="1" si="0">RANDBETWEEN(120, 150)</f>
        <v>145</v>
      </c>
      <c r="D4" s="62">
        <f t="shared" ref="D4:D8" ca="1" si="1">RANDBETWEEN(210, 260)</f>
        <v>246</v>
      </c>
      <c r="E4" s="62">
        <f t="shared" ref="E4:E8" ca="1" si="2">RANDBETWEEN(330, 380)</f>
        <v>377</v>
      </c>
      <c r="F4" s="62">
        <v>1300</v>
      </c>
      <c r="G4" s="62">
        <v>2400</v>
      </c>
      <c r="I4" s="65">
        <v>46076</v>
      </c>
      <c r="J4" s="61" t="s">
        <v>118</v>
      </c>
      <c r="K4" s="61">
        <f t="shared" ref="K4:K7" si="3">MATCH(I4, $B$3:$B$8,0)</f>
        <v>2</v>
      </c>
      <c r="L4" s="61">
        <f t="shared" ref="L4:L7" si="4">MATCH(J4,$C$2:$G$2,0)</f>
        <v>2</v>
      </c>
      <c r="M4" s="62" cm="1">
        <f t="array" aca="1" ref="M4" ca="1">INDEX($C$3:$G$8, K4,L4)</f>
        <v>246</v>
      </c>
    </row>
    <row r="5" spans="2:13" x14ac:dyDescent="0.3">
      <c r="B5" s="65">
        <v>46104</v>
      </c>
      <c r="C5" s="62">
        <f t="shared" ca="1" si="0"/>
        <v>139</v>
      </c>
      <c r="D5" s="62">
        <f t="shared" ca="1" si="1"/>
        <v>254</v>
      </c>
      <c r="E5" s="62">
        <f t="shared" ca="1" si="2"/>
        <v>358</v>
      </c>
      <c r="F5" s="62">
        <v>1350</v>
      </c>
      <c r="G5" s="62">
        <v>2450</v>
      </c>
      <c r="I5" s="65">
        <v>46104</v>
      </c>
      <c r="J5" s="61" t="s">
        <v>120</v>
      </c>
      <c r="K5" s="61">
        <f t="shared" si="3"/>
        <v>3</v>
      </c>
      <c r="L5" s="61">
        <f t="shared" si="4"/>
        <v>4</v>
      </c>
      <c r="M5" s="62" cm="1">
        <f t="array" ref="M5">INDEX($C$3:$G$8, K5,L5)</f>
        <v>1350</v>
      </c>
    </row>
    <row r="6" spans="2:13" x14ac:dyDescent="0.3">
      <c r="B6" s="65">
        <v>46135</v>
      </c>
      <c r="C6" s="62">
        <f t="shared" ca="1" si="0"/>
        <v>128</v>
      </c>
      <c r="D6" s="62">
        <f t="shared" ca="1" si="1"/>
        <v>246</v>
      </c>
      <c r="E6" s="62">
        <f t="shared" ca="1" si="2"/>
        <v>338</v>
      </c>
      <c r="F6" s="62">
        <v>1400</v>
      </c>
      <c r="G6" s="62">
        <v>2500</v>
      </c>
      <c r="I6" s="65">
        <v>46135</v>
      </c>
      <c r="J6" s="61" t="s">
        <v>120</v>
      </c>
      <c r="K6" s="61">
        <f t="shared" si="3"/>
        <v>4</v>
      </c>
      <c r="L6" s="61">
        <f t="shared" si="4"/>
        <v>4</v>
      </c>
      <c r="M6" s="62" cm="1">
        <f t="array" ref="M6">INDEX($C$3:$G$8, K6,L6)</f>
        <v>1400</v>
      </c>
    </row>
    <row r="7" spans="2:13" x14ac:dyDescent="0.3">
      <c r="B7" s="65">
        <v>46165</v>
      </c>
      <c r="C7" s="62">
        <f t="shared" ca="1" si="0"/>
        <v>149</v>
      </c>
      <c r="D7" s="62">
        <f t="shared" ca="1" si="1"/>
        <v>260</v>
      </c>
      <c r="E7" s="62">
        <f t="shared" ca="1" si="2"/>
        <v>376</v>
      </c>
      <c r="F7" s="62">
        <v>1450</v>
      </c>
      <c r="G7" s="62">
        <v>2550</v>
      </c>
      <c r="I7" s="65">
        <v>46196</v>
      </c>
      <c r="J7" s="61" t="s">
        <v>121</v>
      </c>
      <c r="K7" s="61">
        <f t="shared" si="3"/>
        <v>6</v>
      </c>
      <c r="L7" s="61">
        <f t="shared" si="4"/>
        <v>5</v>
      </c>
      <c r="M7" s="62" cm="1">
        <f t="array" ref="M7">INDEX($C$3:$G$8, K7,L7)</f>
        <v>2600</v>
      </c>
    </row>
    <row r="8" spans="2:13" x14ac:dyDescent="0.3">
      <c r="B8" s="65">
        <v>46196</v>
      </c>
      <c r="C8" s="62">
        <f t="shared" ca="1" si="0"/>
        <v>124</v>
      </c>
      <c r="D8" s="62">
        <f t="shared" ca="1" si="1"/>
        <v>228</v>
      </c>
      <c r="E8" s="62">
        <f t="shared" ca="1" si="2"/>
        <v>350</v>
      </c>
      <c r="F8" s="62">
        <v>1500</v>
      </c>
      <c r="G8" s="62">
        <v>2600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AC275-79FD-4ECC-93CD-B834A0A54184}">
  <dimension ref="B2:E14"/>
  <sheetViews>
    <sheetView tabSelected="1" workbookViewId="0">
      <selection activeCell="C3" sqref="C3:C13"/>
    </sheetView>
  </sheetViews>
  <sheetFormatPr defaultRowHeight="14.4" x14ac:dyDescent="0.3"/>
  <cols>
    <col min="2" max="2" width="12.5546875" bestFit="1" customWidth="1"/>
    <col min="3" max="3" width="17.44140625" customWidth="1"/>
    <col min="4" max="4" width="17" customWidth="1"/>
    <col min="5" max="5" width="15.33203125" bestFit="1" customWidth="1"/>
  </cols>
  <sheetData>
    <row r="2" spans="2:5" x14ac:dyDescent="0.3">
      <c r="B2" s="66" t="s">
        <v>125</v>
      </c>
      <c r="C2" s="67" t="s">
        <v>126</v>
      </c>
      <c r="D2" s="67" t="s">
        <v>127</v>
      </c>
      <c r="E2" s="68" t="s">
        <v>128</v>
      </c>
    </row>
    <row r="3" spans="2:5" x14ac:dyDescent="0.3">
      <c r="B3" s="23" t="s">
        <v>11</v>
      </c>
      <c r="C3">
        <f ca="1">RANDBETWEEN(5, 50)</f>
        <v>41</v>
      </c>
      <c r="D3" s="69">
        <f ca="1">RANDBETWEEN(1000, 100000)</f>
        <v>55923</v>
      </c>
      <c r="E3" s="75" cm="1">
        <f t="array" aca="1" ref="E3:E13" ca="1">C3:C13*D3:D13</f>
        <v>2292843</v>
      </c>
    </row>
    <row r="4" spans="2:5" x14ac:dyDescent="0.3">
      <c r="B4" s="23" t="s">
        <v>16</v>
      </c>
      <c r="C4">
        <f t="shared" ref="C4:C13" ca="1" si="0">RANDBETWEEN(5, 50)</f>
        <v>31</v>
      </c>
      <c r="D4" s="69">
        <f t="shared" ref="D4:D13" ca="1" si="1">RANDBETWEEN(1000, 100000)</f>
        <v>80905</v>
      </c>
      <c r="E4" s="76">
        <f ca="1"/>
        <v>2508055</v>
      </c>
    </row>
    <row r="5" spans="2:5" x14ac:dyDescent="0.3">
      <c r="B5" s="23" t="s">
        <v>17</v>
      </c>
      <c r="C5">
        <f t="shared" ca="1" si="0"/>
        <v>5</v>
      </c>
      <c r="D5" s="69">
        <f t="shared" ca="1" si="1"/>
        <v>24565</v>
      </c>
      <c r="E5" s="76">
        <f ca="1"/>
        <v>122825</v>
      </c>
    </row>
    <row r="6" spans="2:5" x14ac:dyDescent="0.3">
      <c r="B6" s="23" t="s">
        <v>18</v>
      </c>
      <c r="C6">
        <f t="shared" ca="1" si="0"/>
        <v>31</v>
      </c>
      <c r="D6" s="69">
        <f t="shared" ca="1" si="1"/>
        <v>23022</v>
      </c>
      <c r="E6" s="76">
        <f ca="1"/>
        <v>713682</v>
      </c>
    </row>
    <row r="7" spans="2:5" x14ac:dyDescent="0.3">
      <c r="B7" s="23" t="s">
        <v>129</v>
      </c>
      <c r="C7">
        <f t="shared" ca="1" si="0"/>
        <v>42</v>
      </c>
      <c r="D7" s="69">
        <f t="shared" ca="1" si="1"/>
        <v>81275</v>
      </c>
      <c r="E7" s="76">
        <f ca="1"/>
        <v>3413550</v>
      </c>
    </row>
    <row r="8" spans="2:5" x14ac:dyDescent="0.3">
      <c r="B8" s="23" t="s">
        <v>130</v>
      </c>
      <c r="C8">
        <f t="shared" ca="1" si="0"/>
        <v>35</v>
      </c>
      <c r="D8" s="69">
        <f t="shared" ca="1" si="1"/>
        <v>19191</v>
      </c>
      <c r="E8" s="76">
        <f ca="1"/>
        <v>671685</v>
      </c>
    </row>
    <row r="9" spans="2:5" x14ac:dyDescent="0.3">
      <c r="B9" s="23" t="s">
        <v>131</v>
      </c>
      <c r="C9">
        <f t="shared" ca="1" si="0"/>
        <v>36</v>
      </c>
      <c r="D9" s="69">
        <f t="shared" ca="1" si="1"/>
        <v>90218</v>
      </c>
      <c r="E9" s="76">
        <f ca="1"/>
        <v>3247848</v>
      </c>
    </row>
    <row r="10" spans="2:5" x14ac:dyDescent="0.3">
      <c r="B10" s="23" t="s">
        <v>132</v>
      </c>
      <c r="C10">
        <f t="shared" ca="1" si="0"/>
        <v>29</v>
      </c>
      <c r="D10" s="69">
        <f t="shared" ca="1" si="1"/>
        <v>24655</v>
      </c>
      <c r="E10" s="76">
        <f ca="1"/>
        <v>714995</v>
      </c>
    </row>
    <row r="11" spans="2:5" x14ac:dyDescent="0.3">
      <c r="B11" s="23" t="s">
        <v>133</v>
      </c>
      <c r="C11">
        <f t="shared" ca="1" si="0"/>
        <v>19</v>
      </c>
      <c r="D11" s="69">
        <f t="shared" ca="1" si="1"/>
        <v>10859</v>
      </c>
      <c r="E11" s="76">
        <f ca="1"/>
        <v>206321</v>
      </c>
    </row>
    <row r="12" spans="2:5" x14ac:dyDescent="0.3">
      <c r="B12" s="23" t="s">
        <v>134</v>
      </c>
      <c r="C12">
        <f t="shared" ca="1" si="0"/>
        <v>38</v>
      </c>
      <c r="D12" s="69">
        <f t="shared" ca="1" si="1"/>
        <v>55412</v>
      </c>
      <c r="E12" s="76">
        <f ca="1"/>
        <v>2105656</v>
      </c>
    </row>
    <row r="13" spans="2:5" x14ac:dyDescent="0.3">
      <c r="B13" s="70" t="s">
        <v>135</v>
      </c>
      <c r="C13" s="71">
        <f t="shared" ca="1" si="0"/>
        <v>45</v>
      </c>
      <c r="D13" s="72">
        <f t="shared" ca="1" si="1"/>
        <v>82278</v>
      </c>
      <c r="E13" s="77">
        <f ca="1"/>
        <v>3702510</v>
      </c>
    </row>
    <row r="14" spans="2:5" x14ac:dyDescent="0.3">
      <c r="B14" s="73" t="s">
        <v>136</v>
      </c>
      <c r="C14" s="74"/>
      <c r="D14" s="74"/>
      <c r="E14" s="78">
        <f ca="1">SUM(_xlfn.ANCHORARRAY(E3))</f>
        <v>19699970</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Sheet1</vt:lpstr>
      <vt:lpstr>Sheet2</vt:lpstr>
      <vt:lpstr>Sheet3</vt:lpstr>
      <vt:lpstr>Sheet4</vt:lpstr>
      <vt:lpstr>Sheet5</vt:lpstr>
      <vt:lpstr>Sheet6</vt:lpstr>
      <vt:lpstr>Sheet7</vt:lpstr>
      <vt:lpstr>Sheet8</vt:lpstr>
      <vt:lpstr>Sheet9</vt:lpstr>
      <vt:lpstr>Sheet10</vt:lpstr>
      <vt:lpstr>Sheet11</vt:lpstr>
      <vt:lpstr>With XLOOKUP</vt:lpstr>
      <vt:lpstr>Sheet12</vt:lpstr>
      <vt:lpstr>Sheet13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Jafar</dc:creator>
  <cp:lastModifiedBy>VICTUS</cp:lastModifiedBy>
  <dcterms:created xsi:type="dcterms:W3CDTF">2015-06-05T18:17:20Z</dcterms:created>
  <dcterms:modified xsi:type="dcterms:W3CDTF">2026-09-13T10:49:28Z</dcterms:modified>
</cp:coreProperties>
</file>