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Tests\j-l-data-science-data-analytics\Excel-Finance\Finance-And-Accounting-01\"/>
    </mc:Choice>
  </mc:AlternateContent>
  <xr:revisionPtr revIDLastSave="0" documentId="13_ncr:1_{61DDB7BC-46EC-4C7C-9235-EC0D35AD723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LOOKUP" sheetId="13" state="hidden" r:id="rId1"/>
    <sheet name="XLOOKUP" sheetId="1" r:id="rId2"/>
  </sheets>
  <externalReferences>
    <externalReference r:id="rId3"/>
    <externalReference r:id="rId4"/>
  </externalReferences>
  <definedNames>
    <definedName name="Retirement" localSheetId="0">[1]IF!$B$16:$H$16</definedName>
    <definedName name="Retirement">[2]IF!$B$16:$H$16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1" l="1" a="1"/>
  <c r="L6" i="1" s="1"/>
  <c r="L5" i="1" a="1"/>
  <c r="L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<sst xmlns="http://schemas.openxmlformats.org/spreadsheetml/2006/main" count="365" uniqueCount="200">
  <si>
    <t>Tuesday</t>
  </si>
  <si>
    <t>Last</t>
  </si>
  <si>
    <t>First</t>
  </si>
  <si>
    <t>Bookings</t>
  </si>
  <si>
    <t>Sales</t>
  </si>
  <si>
    <t>Location</t>
  </si>
  <si>
    <t>Comments</t>
  </si>
  <si>
    <t>Employee #</t>
  </si>
  <si>
    <t>Phone</t>
  </si>
  <si>
    <t>Commission?</t>
  </si>
  <si>
    <t>Anderson</t>
  </si>
  <si>
    <t>Jennifer</t>
  </si>
  <si>
    <t>Minneapolis</t>
  </si>
  <si>
    <t>473-50-3002</t>
  </si>
  <si>
    <t>(612) 555-3928</t>
  </si>
  <si>
    <t>Yes</t>
  </si>
  <si>
    <t>Berndt</t>
  </si>
  <si>
    <t>Muriel</t>
  </si>
  <si>
    <t>Berreau</t>
  </si>
  <si>
    <t>Tim</t>
  </si>
  <si>
    <t>Duluth</t>
  </si>
  <si>
    <t>Bilco</t>
  </si>
  <si>
    <t>Roger</t>
  </si>
  <si>
    <t>Two Harbors</t>
  </si>
  <si>
    <t>Billings</t>
  </si>
  <si>
    <t>Stan</t>
  </si>
  <si>
    <t>Black</t>
  </si>
  <si>
    <t>Joseph</t>
  </si>
  <si>
    <t>Bloomington</t>
  </si>
  <si>
    <t>Boyarski</t>
  </si>
  <si>
    <t>Tom</t>
  </si>
  <si>
    <t>St. Cloud</t>
  </si>
  <si>
    <t>Bradshaw</t>
  </si>
  <si>
    <t>Neal</t>
  </si>
  <si>
    <t>Mankato</t>
  </si>
  <si>
    <t>431-34-3461</t>
  </si>
  <si>
    <t>Burr</t>
  </si>
  <si>
    <t>Aaron</t>
  </si>
  <si>
    <t>Rochester</t>
  </si>
  <si>
    <t>On vacation</t>
  </si>
  <si>
    <t>Chang</t>
  </si>
  <si>
    <t>LeAnne</t>
  </si>
  <si>
    <t>Maplewood</t>
  </si>
  <si>
    <t>Chekov</t>
  </si>
  <si>
    <t>Tony</t>
  </si>
  <si>
    <t>Edina</t>
  </si>
  <si>
    <t>Clay</t>
  </si>
  <si>
    <t>Darlene</t>
  </si>
  <si>
    <t>St. Paul</t>
  </si>
  <si>
    <t>Eller</t>
  </si>
  <si>
    <t>Nancy</t>
  </si>
  <si>
    <t>Fargo</t>
  </si>
  <si>
    <t>Erickson</t>
  </si>
  <si>
    <t>Shelia</t>
  </si>
  <si>
    <t>Fredricks</t>
  </si>
  <si>
    <t>Julie</t>
  </si>
  <si>
    <t>Fuentes</t>
  </si>
  <si>
    <t>Bernardo</t>
  </si>
  <si>
    <t>Grahams</t>
  </si>
  <si>
    <t>Phillip</t>
  </si>
  <si>
    <t>Gramm</t>
  </si>
  <si>
    <t>Lucy</t>
  </si>
  <si>
    <t>Harris</t>
  </si>
  <si>
    <t>John</t>
  </si>
  <si>
    <t>Blaine</t>
  </si>
  <si>
    <t>Hill</t>
  </si>
  <si>
    <t>Brett</t>
  </si>
  <si>
    <t>St. Louis Park</t>
  </si>
  <si>
    <t>James</t>
  </si>
  <si>
    <t>Ruth</t>
  </si>
  <si>
    <t>St. Peter</t>
  </si>
  <si>
    <t>Jordon</t>
  </si>
  <si>
    <t>Spring Lake Park</t>
  </si>
  <si>
    <t>Kinkaid</t>
  </si>
  <si>
    <t>Brooklyn Center</t>
  </si>
  <si>
    <t>Kipp</t>
  </si>
  <si>
    <t>Brian</t>
  </si>
  <si>
    <t>Kulhavy</t>
  </si>
  <si>
    <t>Marty</t>
  </si>
  <si>
    <t>Landgo</t>
  </si>
  <si>
    <t>Louis</t>
  </si>
  <si>
    <t>Lindgram</t>
  </si>
  <si>
    <t>Alice</t>
  </si>
  <si>
    <t>Lindquist</t>
  </si>
  <si>
    <t>Lyons</t>
  </si>
  <si>
    <t>Rachel</t>
  </si>
  <si>
    <t>Nelson</t>
  </si>
  <si>
    <t>Wendy</t>
  </si>
  <si>
    <t>Nordstrom</t>
  </si>
  <si>
    <t>Terry</t>
  </si>
  <si>
    <t>Norton</t>
  </si>
  <si>
    <t>Olness</t>
  </si>
  <si>
    <t>Janelle</t>
  </si>
  <si>
    <t>Olson</t>
  </si>
  <si>
    <t>Anne</t>
  </si>
  <si>
    <t>Parmont</t>
  </si>
  <si>
    <t>Brainerd</t>
  </si>
  <si>
    <t>Peterson</t>
  </si>
  <si>
    <t>Rodriguez</t>
  </si>
  <si>
    <t>Maria</t>
  </si>
  <si>
    <t>Hibbing</t>
  </si>
  <si>
    <t>Sick</t>
  </si>
  <si>
    <t>Rommero</t>
  </si>
  <si>
    <t>Antonio</t>
  </si>
  <si>
    <t>Samuals</t>
  </si>
  <si>
    <t>Smith</t>
  </si>
  <si>
    <t>Richard</t>
  </si>
  <si>
    <t>Svens</t>
  </si>
  <si>
    <t>Lois</t>
  </si>
  <si>
    <t>Swanson</t>
  </si>
  <si>
    <t>Therman</t>
  </si>
  <si>
    <t>Thomas</t>
  </si>
  <si>
    <t>Amy</t>
  </si>
  <si>
    <t>Thompson</t>
  </si>
  <si>
    <t>Harrison</t>
  </si>
  <si>
    <t>Thorgood</t>
  </si>
  <si>
    <t>Bruce</t>
  </si>
  <si>
    <t>Timscleft</t>
  </si>
  <si>
    <t>Torkleson</t>
  </si>
  <si>
    <t>Anna</t>
  </si>
  <si>
    <t>Trent</t>
  </si>
  <si>
    <t>Jason</t>
  </si>
  <si>
    <t>Wilson</t>
  </si>
  <si>
    <t>Worgot</t>
  </si>
  <si>
    <t>Mary</t>
  </si>
  <si>
    <t>Wu</t>
  </si>
  <si>
    <t>Wyatt</t>
  </si>
  <si>
    <t>Young</t>
  </si>
  <si>
    <t>Bernice</t>
  </si>
  <si>
    <t>Youngquist</t>
  </si>
  <si>
    <t>Gayle</t>
  </si>
  <si>
    <t>Daily Summary</t>
  </si>
  <si>
    <t>Client No.</t>
  </si>
  <si>
    <t>Address</t>
  </si>
  <si>
    <t>City</t>
  </si>
  <si>
    <t>State</t>
  </si>
  <si>
    <t>Zip</t>
  </si>
  <si>
    <t>Annual Trips</t>
  </si>
  <si>
    <t>Annual Cost of Tickets</t>
  </si>
  <si>
    <t>Purpose</t>
  </si>
  <si>
    <t>Client Number</t>
  </si>
  <si>
    <t>Le Ann</t>
  </si>
  <si>
    <t>Berg</t>
  </si>
  <si>
    <t>754 W. 91st St.</t>
  </si>
  <si>
    <t>MN</t>
  </si>
  <si>
    <t>Pleasure</t>
  </si>
  <si>
    <t>7229 Pine St.</t>
  </si>
  <si>
    <t>Business</t>
  </si>
  <si>
    <t>Peter</t>
  </si>
  <si>
    <t>Boggins</t>
  </si>
  <si>
    <t>741 280th St.</t>
  </si>
  <si>
    <t>Jimmy</t>
  </si>
  <si>
    <t>Howard</t>
  </si>
  <si>
    <t>206 E. Park Bend</t>
  </si>
  <si>
    <t>Issac</t>
  </si>
  <si>
    <t>803 Turtle Rd.</t>
  </si>
  <si>
    <t>Lusten</t>
  </si>
  <si>
    <t>Robert</t>
  </si>
  <si>
    <t>56 Black Court Road</t>
  </si>
  <si>
    <t>Superior</t>
  </si>
  <si>
    <t>WI</t>
  </si>
  <si>
    <t>Steve</t>
  </si>
  <si>
    <t>Jennings</t>
  </si>
  <si>
    <t>608 Van Burren St. #8</t>
  </si>
  <si>
    <t>Ronald</t>
  </si>
  <si>
    <t>Lensfield</t>
  </si>
  <si>
    <t>87 91st St.</t>
  </si>
  <si>
    <t>Gerald</t>
  </si>
  <si>
    <t>Lincoln</t>
  </si>
  <si>
    <t>4545 Washington Ave.</t>
  </si>
  <si>
    <t>Grand Portage</t>
  </si>
  <si>
    <t>5012 Minnehaha Ave.</t>
  </si>
  <si>
    <t>Not Stated</t>
  </si>
  <si>
    <t>William</t>
  </si>
  <si>
    <t>1717 Louis Court</t>
  </si>
  <si>
    <t>Grand Marais</t>
  </si>
  <si>
    <t>Other</t>
  </si>
  <si>
    <t>Peters</t>
  </si>
  <si>
    <t>505 West Park Ave.</t>
  </si>
  <si>
    <t>Susan</t>
  </si>
  <si>
    <t>Ratcliff</t>
  </si>
  <si>
    <t>Rt. 8, Box 109</t>
  </si>
  <si>
    <t>Rodriquez</t>
  </si>
  <si>
    <t>366 Glen Rd.</t>
  </si>
  <si>
    <t>93422 248 St.</t>
  </si>
  <si>
    <t>Ely</t>
  </si>
  <si>
    <t>Scott</t>
  </si>
  <si>
    <t>223 Lake St.</t>
  </si>
  <si>
    <t>George</t>
  </si>
  <si>
    <t>104 Lonsdale Blvd.</t>
  </si>
  <si>
    <t>3081 77 St.</t>
  </si>
  <si>
    <t>Harold</t>
  </si>
  <si>
    <t>Williams</t>
  </si>
  <si>
    <t>55 Sugar Lane</t>
  </si>
  <si>
    <t>85 Lake Shore Dr.</t>
  </si>
  <si>
    <t>International Falls</t>
  </si>
  <si>
    <t>Words</t>
  </si>
  <si>
    <t>Rt. 3, Box 912</t>
  </si>
  <si>
    <t>100 Front Blvd.</t>
  </si>
  <si>
    <t>Cloquet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</si>
</sst>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00\-00\-0000"/>
    <numFmt numFmtId="165" formatCode="\(\6\1\2\)\ \5\5\5\-####"/>
    <numFmt numFmtId="166" formatCode="\(\2\1\8\)\ \5\5\5\-####"/>
    <numFmt numFmtId="167" formatCode="\(\50\7\)\ \5\5\5\-####"/>
    <numFmt numFmtId="168" formatCode="&quot;$&quot;#,##0.00"/>
    <numFmt numFmtId="169" formatCode="_(&quot;$&quot;* #,##0_);_(&quot;$&quot;* \(#,##0\);_(&quot;$&quot;* &quot;-&quot;??_);_(@_)"/>
  </numFmts>
  <fonts count="10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b/>
      <sz val="18"/>
      <color theme="3"/>
      <name val="Rockwell"/>
      <family val="2"/>
      <scheme val="major"/>
    </font>
    <font>
      <b/>
      <sz val="13"/>
      <color theme="3"/>
      <name val="Rockwell"/>
      <family val="2"/>
      <scheme val="minor"/>
    </font>
    <font>
      <sz val="10"/>
      <name val="Rockwell"/>
      <family val="2"/>
      <scheme val="minor"/>
    </font>
    <font>
      <b/>
      <sz val="10"/>
      <color theme="0"/>
      <name val="Rockwell"/>
      <family val="2"/>
      <scheme val="minor"/>
    </font>
    <font>
      <sz val="10"/>
      <name val="Arial"/>
      <family val="2"/>
    </font>
    <font>
      <b/>
      <sz val="10"/>
      <color theme="4" tint="-0.249977111117893"/>
      <name val="Arial"/>
      <family val="2"/>
    </font>
    <font>
      <b/>
      <sz val="10"/>
      <name val="Arial"/>
      <family val="2"/>
    </font>
    <font>
      <sz val="10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6" fillId="0" borderId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2"/>
    <xf numFmtId="0" fontId="3" fillId="0" borderId="1" xfId="3"/>
    <xf numFmtId="0" fontId="4" fillId="0" borderId="2" xfId="0" applyFont="1" applyBorder="1"/>
    <xf numFmtId="0" fontId="4" fillId="0" borderId="3" xfId="0" applyFont="1" applyBorder="1"/>
    <xf numFmtId="44" fontId="4" fillId="0" borderId="3" xfId="1" applyFont="1" applyBorder="1"/>
    <xf numFmtId="0" fontId="4" fillId="0" borderId="3" xfId="0" applyFont="1" applyBorder="1" applyAlignment="1">
      <alignment horizontal="right"/>
    </xf>
    <xf numFmtId="164" fontId="4" fillId="0" borderId="3" xfId="0" applyNumberFormat="1" applyFont="1" applyBorder="1"/>
    <xf numFmtId="165" fontId="4" fillId="0" borderId="3" xfId="0" applyNumberFormat="1" applyFont="1" applyBorder="1"/>
    <xf numFmtId="166" fontId="4" fillId="0" borderId="3" xfId="0" applyNumberFormat="1" applyFont="1" applyBorder="1"/>
    <xf numFmtId="164" fontId="4" fillId="0" borderId="3" xfId="0" applyNumberFormat="1" applyFont="1" applyBorder="1" applyAlignment="1">
      <alignment horizontal="right"/>
    </xf>
    <xf numFmtId="167" fontId="4" fillId="0" borderId="3" xfId="0" applyNumberFormat="1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44" fontId="4" fillId="0" borderId="6" xfId="1" applyFont="1" applyBorder="1"/>
    <xf numFmtId="164" fontId="4" fillId="0" borderId="6" xfId="0" applyNumberFormat="1" applyFont="1" applyBorder="1"/>
    <xf numFmtId="165" fontId="4" fillId="0" borderId="6" xfId="0" applyNumberFormat="1" applyFont="1" applyBorder="1"/>
    <xf numFmtId="0" fontId="4" fillId="0" borderId="7" xfId="0" applyFont="1" applyBorder="1"/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/>
    <xf numFmtId="0" fontId="5" fillId="2" borderId="4" xfId="0" applyFont="1" applyFill="1" applyBorder="1"/>
    <xf numFmtId="0" fontId="5" fillId="2" borderId="0" xfId="0" applyFont="1" applyFill="1"/>
    <xf numFmtId="0" fontId="7" fillId="0" borderId="6" xfId="4" applyFont="1" applyBorder="1"/>
    <xf numFmtId="168" fontId="7" fillId="0" borderId="6" xfId="4" applyNumberFormat="1" applyFont="1" applyBorder="1" applyAlignment="1">
      <alignment horizontal="center" wrapText="1"/>
    </xf>
    <xf numFmtId="0" fontId="6" fillId="0" borderId="0" xfId="4"/>
    <xf numFmtId="0" fontId="8" fillId="0" borderId="0" xfId="4" applyFont="1"/>
    <xf numFmtId="0" fontId="9" fillId="3" borderId="0" xfId="4" applyFont="1" applyFill="1"/>
    <xf numFmtId="169" fontId="9" fillId="3" borderId="0" xfId="5" applyNumberFormat="1" applyFont="1" applyFill="1"/>
    <xf numFmtId="0" fontId="9" fillId="0" borderId="0" xfId="4" applyFont="1"/>
    <xf numFmtId="169" fontId="9" fillId="0" borderId="0" xfId="5" applyNumberFormat="1" applyFont="1"/>
    <xf numFmtId="0" fontId="9" fillId="0" borderId="8" xfId="4" applyFont="1" applyBorder="1"/>
    <xf numFmtId="169" fontId="9" fillId="0" borderId="8" xfId="5" applyNumberFormat="1" applyFont="1" applyBorder="1"/>
    <xf numFmtId="169" fontId="6" fillId="0" borderId="0" xfId="5" applyNumberFormat="1" applyFont="1"/>
    <xf numFmtId="44" fontId="0" fillId="0" borderId="0" xfId="1" applyFont="1"/>
  </cellXfs>
  <cellStyles count="6">
    <cellStyle name="Currency" xfId="1" builtinId="4"/>
    <cellStyle name="Currency 2 2" xfId="5" xr:uid="{A091BE73-5662-44EF-B452-039088FD9490}"/>
    <cellStyle name="Heading 2" xfId="3" builtinId="17"/>
    <cellStyle name="Normal" xfId="0" builtinId="0"/>
    <cellStyle name="Normal 2" xfId="4" xr:uid="{EA7633C5-64D3-4512-9641-930BC92A09CE}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ustomGuide/Excel%202007/Practice/Functionscopy.xlsx" TargetMode="External"/><Relationship Id="rId1" Type="http://schemas.openxmlformats.org/officeDocument/2006/relationships/externalLinkPath" Target="/CustomGuide/Excel%202007/Practice/Functionscopy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Craig/Documents/Work/Brainstorm/Marzetti/Excel%20301%20Samples/VLookUp%20Intro.xlsx" TargetMode="External"/><Relationship Id="rId2" Type="http://schemas.openxmlformats.org/officeDocument/2006/relationships/externalLinkPath" Target="file:///C:\Users\Craig\Documents\Work\Brainstorm\Marzetti\Excel%20301%20Samples\VLookUp%20Intro.xlsx" TargetMode="External"/><Relationship Id="rId1" Type="http://schemas.openxmlformats.org/officeDocument/2006/relationships/externalLinkPath" Target="/Users/Craig/Documents/Work/Brainstorm/Marzetti/Excel%20301%20Samples/VLookUp%20Int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F"/>
      <sheetName val="PMT"/>
      <sheetName val="DSUM"/>
      <sheetName val="NewVLOOKUP"/>
      <sheetName val="VLOOKUP"/>
    </sheetNames>
    <sheetDataSet>
      <sheetData sheetId="0">
        <row r="16">
          <cell r="B16">
            <v>50</v>
          </cell>
          <cell r="C16">
            <v>0</v>
          </cell>
          <cell r="D16">
            <v>15.75</v>
          </cell>
          <cell r="E16">
            <v>27</v>
          </cell>
          <cell r="F16">
            <v>36</v>
          </cell>
          <cell r="G16">
            <v>0</v>
          </cell>
          <cell r="H16">
            <v>44.2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F"/>
      <sheetName val="PMT"/>
      <sheetName val="DSUM"/>
      <sheetName val="VLOOKUP"/>
    </sheetNames>
    <sheetDataSet>
      <sheetData sheetId="0">
        <row r="16">
          <cell r="B16">
            <v>50</v>
          </cell>
          <cell r="C16">
            <v>0</v>
          </cell>
          <cell r="D16">
            <v>15.75</v>
          </cell>
          <cell r="E16">
            <v>27</v>
          </cell>
          <cell r="F16">
            <v>36</v>
          </cell>
          <cell r="G16">
            <v>0</v>
          </cell>
          <cell r="H16">
            <v>44.2</v>
          </cell>
        </row>
      </sheetData>
      <sheetData sheetId="1"/>
      <sheetData sheetId="2"/>
      <sheetData sheetId="3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oundry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Foundry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Foundry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9506-7E8A-4CBC-B984-3E8E357672E3}">
  <dimension ref="A1:N47"/>
  <sheetViews>
    <sheetView workbookViewId="0">
      <selection activeCell="N2" sqref="N2"/>
    </sheetView>
  </sheetViews>
  <sheetFormatPr defaultColWidth="8" defaultRowHeight="13.2" x14ac:dyDescent="0.25"/>
  <cols>
    <col min="1" max="1" width="8.59765625" style="26" bestFit="1" customWidth="1"/>
    <col min="2" max="2" width="11.3984375" style="26" customWidth="1"/>
    <col min="3" max="3" width="11.69921875" style="26" customWidth="1"/>
    <col min="4" max="4" width="17.09765625" style="26" customWidth="1"/>
    <col min="5" max="5" width="11.3984375" style="26" customWidth="1"/>
    <col min="6" max="6" width="6.5" style="26" customWidth="1"/>
    <col min="7" max="7" width="5.19921875" style="26" customWidth="1"/>
    <col min="8" max="8" width="12.09765625" style="26" customWidth="1"/>
    <col min="9" max="9" width="19.69921875" style="26" customWidth="1"/>
    <col min="10" max="10" width="13.59765625" style="26" customWidth="1"/>
    <col min="11" max="12" width="8" style="26"/>
    <col min="13" max="13" width="16.09765625" style="26" customWidth="1"/>
    <col min="14" max="16384" width="8" style="26"/>
  </cols>
  <sheetData>
    <row r="1" spans="1:14" x14ac:dyDescent="0.25">
      <c r="A1" s="24" t="s">
        <v>132</v>
      </c>
      <c r="B1" s="25" t="s">
        <v>2</v>
      </c>
      <c r="C1" s="25" t="s">
        <v>1</v>
      </c>
      <c r="D1" s="25" t="s">
        <v>133</v>
      </c>
      <c r="E1" s="25" t="s">
        <v>134</v>
      </c>
      <c r="F1" s="25" t="s">
        <v>135</v>
      </c>
      <c r="G1" s="25" t="s">
        <v>136</v>
      </c>
      <c r="H1" s="25" t="s">
        <v>137</v>
      </c>
      <c r="I1" s="25" t="s">
        <v>138</v>
      </c>
      <c r="J1" s="25" t="s">
        <v>139</v>
      </c>
      <c r="M1" s="27" t="s">
        <v>140</v>
      </c>
      <c r="N1" s="27" t="s">
        <v>138</v>
      </c>
    </row>
    <row r="2" spans="1:14" x14ac:dyDescent="0.25">
      <c r="A2" s="28">
        <v>7</v>
      </c>
      <c r="B2" s="28" t="s">
        <v>141</v>
      </c>
      <c r="C2" s="28" t="s">
        <v>142</v>
      </c>
      <c r="D2" s="28" t="s">
        <v>143</v>
      </c>
      <c r="E2" s="28" t="s">
        <v>23</v>
      </c>
      <c r="F2" s="28" t="s">
        <v>144</v>
      </c>
      <c r="G2" s="28">
        <v>55616</v>
      </c>
      <c r="H2" s="28">
        <v>1</v>
      </c>
      <c r="I2" s="29">
        <v>769</v>
      </c>
      <c r="J2" s="28" t="s">
        <v>145</v>
      </c>
    </row>
    <row r="3" spans="1:14" x14ac:dyDescent="0.25">
      <c r="A3" s="30">
        <v>8</v>
      </c>
      <c r="B3" s="30" t="s">
        <v>61</v>
      </c>
      <c r="C3" s="30" t="s">
        <v>18</v>
      </c>
      <c r="D3" s="30" t="s">
        <v>146</v>
      </c>
      <c r="E3" s="30" t="s">
        <v>12</v>
      </c>
      <c r="F3" s="30" t="s">
        <v>144</v>
      </c>
      <c r="G3" s="30">
        <v>55439</v>
      </c>
      <c r="H3" s="30">
        <v>15</v>
      </c>
      <c r="I3" s="31">
        <v>11535</v>
      </c>
      <c r="J3" s="30" t="s">
        <v>147</v>
      </c>
    </row>
    <row r="4" spans="1:14" x14ac:dyDescent="0.25">
      <c r="A4" s="28">
        <v>12</v>
      </c>
      <c r="B4" s="28" t="s">
        <v>148</v>
      </c>
      <c r="C4" s="28" t="s">
        <v>149</v>
      </c>
      <c r="D4" s="28" t="s">
        <v>150</v>
      </c>
      <c r="E4" s="28" t="s">
        <v>43</v>
      </c>
      <c r="F4" s="28" t="s">
        <v>144</v>
      </c>
      <c r="G4" s="28">
        <v>55411</v>
      </c>
      <c r="H4" s="28">
        <v>2</v>
      </c>
      <c r="I4" s="29">
        <v>1686</v>
      </c>
      <c r="J4" s="28" t="s">
        <v>147</v>
      </c>
    </row>
    <row r="5" spans="1:14" x14ac:dyDescent="0.25">
      <c r="A5" s="30">
        <v>5</v>
      </c>
      <c r="B5" s="30" t="s">
        <v>151</v>
      </c>
      <c r="C5" s="30" t="s">
        <v>152</v>
      </c>
      <c r="D5" s="30" t="s">
        <v>153</v>
      </c>
      <c r="E5" s="30" t="s">
        <v>12</v>
      </c>
      <c r="F5" s="30" t="s">
        <v>144</v>
      </c>
      <c r="G5" s="30">
        <v>55439</v>
      </c>
      <c r="H5" s="30">
        <v>2</v>
      </c>
      <c r="I5" s="31">
        <v>1200</v>
      </c>
      <c r="J5" s="30" t="s">
        <v>147</v>
      </c>
    </row>
    <row r="6" spans="1:14" x14ac:dyDescent="0.25">
      <c r="A6" s="28">
        <v>13</v>
      </c>
      <c r="B6" s="28" t="s">
        <v>106</v>
      </c>
      <c r="C6" s="28" t="s">
        <v>154</v>
      </c>
      <c r="D6" s="28" t="s">
        <v>155</v>
      </c>
      <c r="E6" s="28" t="s">
        <v>156</v>
      </c>
      <c r="F6" s="28" t="s">
        <v>144</v>
      </c>
      <c r="G6" s="28">
        <v>55755</v>
      </c>
      <c r="H6" s="28">
        <v>1</v>
      </c>
      <c r="I6" s="29">
        <v>600</v>
      </c>
      <c r="J6" s="28" t="s">
        <v>145</v>
      </c>
    </row>
    <row r="7" spans="1:14" x14ac:dyDescent="0.25">
      <c r="A7" s="30">
        <v>14</v>
      </c>
      <c r="B7" s="30" t="s">
        <v>157</v>
      </c>
      <c r="C7" s="30" t="s">
        <v>68</v>
      </c>
      <c r="D7" s="30" t="s">
        <v>158</v>
      </c>
      <c r="E7" s="30" t="s">
        <v>159</v>
      </c>
      <c r="F7" s="30" t="s">
        <v>160</v>
      </c>
      <c r="G7" s="30">
        <v>54880</v>
      </c>
      <c r="H7" s="30">
        <v>1</v>
      </c>
      <c r="I7" s="31">
        <v>843</v>
      </c>
      <c r="J7" s="30" t="s">
        <v>145</v>
      </c>
    </row>
    <row r="8" spans="1:14" x14ac:dyDescent="0.25">
      <c r="A8" s="28">
        <v>17</v>
      </c>
      <c r="B8" s="28" t="s">
        <v>161</v>
      </c>
      <c r="C8" s="28" t="s">
        <v>162</v>
      </c>
      <c r="D8" s="28" t="s">
        <v>163</v>
      </c>
      <c r="E8" s="28" t="s">
        <v>20</v>
      </c>
      <c r="F8" s="28" t="s">
        <v>144</v>
      </c>
      <c r="G8" s="28">
        <v>55701</v>
      </c>
      <c r="H8" s="28">
        <v>3</v>
      </c>
      <c r="I8" s="29">
        <v>1800</v>
      </c>
      <c r="J8" s="28" t="s">
        <v>147</v>
      </c>
    </row>
    <row r="9" spans="1:14" x14ac:dyDescent="0.25">
      <c r="A9" s="30">
        <v>16</v>
      </c>
      <c r="B9" s="30" t="s">
        <v>164</v>
      </c>
      <c r="C9" s="30" t="s">
        <v>165</v>
      </c>
      <c r="D9" s="30" t="s">
        <v>166</v>
      </c>
      <c r="E9" s="30" t="s">
        <v>159</v>
      </c>
      <c r="F9" s="30" t="s">
        <v>160</v>
      </c>
      <c r="G9" s="30">
        <v>54880</v>
      </c>
      <c r="H9" s="30">
        <v>5</v>
      </c>
      <c r="I9" s="31">
        <v>3000</v>
      </c>
      <c r="J9" s="30" t="s">
        <v>147</v>
      </c>
    </row>
    <row r="10" spans="1:14" x14ac:dyDescent="0.25">
      <c r="A10" s="28">
        <v>2</v>
      </c>
      <c r="B10" s="28" t="s">
        <v>167</v>
      </c>
      <c r="C10" s="28" t="s">
        <v>168</v>
      </c>
      <c r="D10" s="28" t="s">
        <v>169</v>
      </c>
      <c r="E10" s="28" t="s">
        <v>170</v>
      </c>
      <c r="F10" s="28" t="s">
        <v>144</v>
      </c>
      <c r="G10" s="28">
        <v>56649</v>
      </c>
      <c r="H10" s="28">
        <v>2</v>
      </c>
      <c r="I10" s="29">
        <v>1200</v>
      </c>
      <c r="J10" s="28" t="s">
        <v>147</v>
      </c>
    </row>
    <row r="11" spans="1:14" x14ac:dyDescent="0.25">
      <c r="A11" s="30">
        <v>11</v>
      </c>
      <c r="B11" s="30" t="s">
        <v>124</v>
      </c>
      <c r="C11" s="30" t="s">
        <v>86</v>
      </c>
      <c r="D11" s="30" t="s">
        <v>171</v>
      </c>
      <c r="E11" s="30" t="s">
        <v>20</v>
      </c>
      <c r="F11" s="30" t="s">
        <v>144</v>
      </c>
      <c r="G11" s="30">
        <v>55701</v>
      </c>
      <c r="H11" s="30">
        <v>2</v>
      </c>
      <c r="I11" s="31">
        <v>1538</v>
      </c>
      <c r="J11" s="30" t="s">
        <v>172</v>
      </c>
    </row>
    <row r="12" spans="1:14" x14ac:dyDescent="0.25">
      <c r="A12" s="28">
        <v>22</v>
      </c>
      <c r="B12" s="28" t="s">
        <v>173</v>
      </c>
      <c r="C12" s="28" t="s">
        <v>86</v>
      </c>
      <c r="D12" s="28" t="s">
        <v>174</v>
      </c>
      <c r="E12" s="28" t="s">
        <v>175</v>
      </c>
      <c r="F12" s="28" t="s">
        <v>144</v>
      </c>
      <c r="G12" s="28">
        <v>55604</v>
      </c>
      <c r="H12" s="28">
        <v>2</v>
      </c>
      <c r="I12" s="29">
        <v>1200</v>
      </c>
      <c r="J12" s="28" t="s">
        <v>176</v>
      </c>
    </row>
    <row r="13" spans="1:14" x14ac:dyDescent="0.25">
      <c r="A13" s="30">
        <v>6</v>
      </c>
      <c r="B13" s="30" t="s">
        <v>63</v>
      </c>
      <c r="C13" s="30" t="s">
        <v>177</v>
      </c>
      <c r="D13" s="30" t="s">
        <v>178</v>
      </c>
      <c r="E13" s="30" t="s">
        <v>20</v>
      </c>
      <c r="F13" s="30" t="s">
        <v>144</v>
      </c>
      <c r="G13" s="30">
        <v>55701</v>
      </c>
      <c r="H13" s="30">
        <v>2</v>
      </c>
      <c r="I13" s="31">
        <v>1686</v>
      </c>
      <c r="J13" s="30" t="s">
        <v>145</v>
      </c>
    </row>
    <row r="14" spans="1:14" x14ac:dyDescent="0.25">
      <c r="A14" s="28">
        <v>20</v>
      </c>
      <c r="B14" s="28" t="s">
        <v>179</v>
      </c>
      <c r="C14" s="28" t="s">
        <v>180</v>
      </c>
      <c r="D14" s="28" t="s">
        <v>181</v>
      </c>
      <c r="E14" s="28" t="s">
        <v>20</v>
      </c>
      <c r="F14" s="28" t="s">
        <v>144</v>
      </c>
      <c r="G14" s="28">
        <v>55801</v>
      </c>
      <c r="H14" s="28">
        <v>7</v>
      </c>
      <c r="I14" s="29">
        <v>4200</v>
      </c>
      <c r="J14" s="28" t="s">
        <v>147</v>
      </c>
    </row>
    <row r="15" spans="1:14" x14ac:dyDescent="0.25">
      <c r="A15" s="30">
        <v>9</v>
      </c>
      <c r="B15" s="30" t="s">
        <v>99</v>
      </c>
      <c r="C15" s="30" t="s">
        <v>182</v>
      </c>
      <c r="D15" s="30" t="s">
        <v>183</v>
      </c>
      <c r="E15" s="30" t="s">
        <v>20</v>
      </c>
      <c r="F15" s="30" t="s">
        <v>144</v>
      </c>
      <c r="G15" s="30">
        <v>55701</v>
      </c>
      <c r="H15" s="30">
        <v>8</v>
      </c>
      <c r="I15" s="31">
        <v>4800</v>
      </c>
      <c r="J15" s="30" t="s">
        <v>176</v>
      </c>
    </row>
    <row r="16" spans="1:14" x14ac:dyDescent="0.25">
      <c r="A16" s="28">
        <v>21</v>
      </c>
      <c r="B16" s="28" t="s">
        <v>179</v>
      </c>
      <c r="C16" s="28" t="s">
        <v>97</v>
      </c>
      <c r="D16" s="28" t="s">
        <v>184</v>
      </c>
      <c r="E16" s="28" t="s">
        <v>185</v>
      </c>
      <c r="F16" s="28" t="s">
        <v>144</v>
      </c>
      <c r="G16" s="28">
        <v>55731</v>
      </c>
      <c r="H16" s="28">
        <v>7</v>
      </c>
      <c r="I16" s="29">
        <v>4200</v>
      </c>
      <c r="J16" s="28" t="s">
        <v>176</v>
      </c>
    </row>
    <row r="17" spans="1:10" x14ac:dyDescent="0.25">
      <c r="A17" s="30">
        <v>19</v>
      </c>
      <c r="B17" s="30" t="s">
        <v>179</v>
      </c>
      <c r="C17" s="30" t="s">
        <v>186</v>
      </c>
      <c r="D17" s="30" t="s">
        <v>187</v>
      </c>
      <c r="E17" s="30" t="s">
        <v>159</v>
      </c>
      <c r="F17" s="30" t="s">
        <v>160</v>
      </c>
      <c r="G17" s="30">
        <v>54880</v>
      </c>
      <c r="H17" s="30">
        <v>4</v>
      </c>
      <c r="I17" s="31">
        <v>3372</v>
      </c>
      <c r="J17" s="30" t="s">
        <v>147</v>
      </c>
    </row>
    <row r="18" spans="1:10" x14ac:dyDescent="0.25">
      <c r="A18" s="28">
        <v>1</v>
      </c>
      <c r="B18" s="28" t="s">
        <v>188</v>
      </c>
      <c r="C18" s="28" t="s">
        <v>105</v>
      </c>
      <c r="D18" s="28" t="s">
        <v>189</v>
      </c>
      <c r="E18" s="28" t="s">
        <v>43</v>
      </c>
      <c r="F18" s="28" t="s">
        <v>144</v>
      </c>
      <c r="G18" s="28">
        <v>55411</v>
      </c>
      <c r="H18" s="28">
        <v>1</v>
      </c>
      <c r="I18" s="29">
        <v>600</v>
      </c>
      <c r="J18" s="28" t="s">
        <v>172</v>
      </c>
    </row>
    <row r="19" spans="1:10" x14ac:dyDescent="0.25">
      <c r="A19" s="30">
        <v>10</v>
      </c>
      <c r="B19" s="30" t="s">
        <v>124</v>
      </c>
      <c r="C19" s="30" t="s">
        <v>105</v>
      </c>
      <c r="D19" s="30" t="s">
        <v>190</v>
      </c>
      <c r="E19" s="30" t="s">
        <v>23</v>
      </c>
      <c r="F19" s="30" t="s">
        <v>144</v>
      </c>
      <c r="G19" s="30">
        <v>55616</v>
      </c>
      <c r="H19" s="30">
        <v>1</v>
      </c>
      <c r="I19" s="31">
        <v>600</v>
      </c>
      <c r="J19" s="30" t="s">
        <v>145</v>
      </c>
    </row>
    <row r="20" spans="1:10" x14ac:dyDescent="0.25">
      <c r="A20" s="28">
        <v>3</v>
      </c>
      <c r="B20" s="28" t="s">
        <v>191</v>
      </c>
      <c r="C20" s="28" t="s">
        <v>192</v>
      </c>
      <c r="D20" s="28" t="s">
        <v>193</v>
      </c>
      <c r="E20" s="28" t="s">
        <v>20</v>
      </c>
      <c r="F20" s="28" t="s">
        <v>144</v>
      </c>
      <c r="G20" s="28">
        <v>55701</v>
      </c>
      <c r="H20" s="28">
        <v>2</v>
      </c>
      <c r="I20" s="29">
        <v>1686</v>
      </c>
      <c r="J20" s="28" t="s">
        <v>147</v>
      </c>
    </row>
    <row r="21" spans="1:10" x14ac:dyDescent="0.25">
      <c r="A21" s="30">
        <v>15</v>
      </c>
      <c r="B21" s="30" t="s">
        <v>22</v>
      </c>
      <c r="C21" s="30" t="s">
        <v>122</v>
      </c>
      <c r="D21" s="30" t="s">
        <v>194</v>
      </c>
      <c r="E21" s="30" t="s">
        <v>195</v>
      </c>
      <c r="F21" s="30" t="s">
        <v>144</v>
      </c>
      <c r="G21" s="30">
        <v>56649</v>
      </c>
      <c r="H21" s="30">
        <v>8</v>
      </c>
      <c r="I21" s="31">
        <v>6152</v>
      </c>
      <c r="J21" s="30" t="s">
        <v>145</v>
      </c>
    </row>
    <row r="22" spans="1:10" x14ac:dyDescent="0.25">
      <c r="A22" s="28">
        <v>18</v>
      </c>
      <c r="B22" s="28" t="s">
        <v>161</v>
      </c>
      <c r="C22" s="28" t="s">
        <v>196</v>
      </c>
      <c r="D22" s="28" t="s">
        <v>197</v>
      </c>
      <c r="E22" s="28" t="s">
        <v>23</v>
      </c>
      <c r="F22" s="28" t="s">
        <v>144</v>
      </c>
      <c r="G22" s="28">
        <v>55616</v>
      </c>
      <c r="H22" s="28">
        <v>4</v>
      </c>
      <c r="I22" s="29">
        <v>3076</v>
      </c>
      <c r="J22" s="28" t="s">
        <v>145</v>
      </c>
    </row>
    <row r="23" spans="1:10" x14ac:dyDescent="0.25">
      <c r="A23" s="32">
        <v>4</v>
      </c>
      <c r="B23" s="32" t="s">
        <v>152</v>
      </c>
      <c r="C23" s="32" t="s">
        <v>126</v>
      </c>
      <c r="D23" s="32" t="s">
        <v>198</v>
      </c>
      <c r="E23" s="32" t="s">
        <v>199</v>
      </c>
      <c r="F23" s="32" t="s">
        <v>144</v>
      </c>
      <c r="G23" s="32">
        <v>55655</v>
      </c>
      <c r="H23" s="32">
        <v>1</v>
      </c>
      <c r="I23" s="33">
        <v>600</v>
      </c>
      <c r="J23" s="32" t="s">
        <v>145</v>
      </c>
    </row>
    <row r="25" spans="1:10" x14ac:dyDescent="0.25">
      <c r="E25" s="27"/>
    </row>
    <row r="26" spans="1:10" x14ac:dyDescent="0.25">
      <c r="I26" s="34"/>
    </row>
    <row r="27" spans="1:10" x14ac:dyDescent="0.25">
      <c r="I27" s="34"/>
    </row>
    <row r="28" spans="1:10" x14ac:dyDescent="0.25">
      <c r="I28" s="34"/>
    </row>
    <row r="29" spans="1:10" x14ac:dyDescent="0.25">
      <c r="I29" s="34"/>
    </row>
    <row r="30" spans="1:10" x14ac:dyDescent="0.25">
      <c r="I30" s="34"/>
    </row>
    <row r="31" spans="1:10" x14ac:dyDescent="0.25">
      <c r="I31" s="34"/>
    </row>
    <row r="32" spans="1:10" x14ac:dyDescent="0.25">
      <c r="I32" s="34"/>
    </row>
    <row r="33" spans="9:9" x14ac:dyDescent="0.25">
      <c r="I33" s="34"/>
    </row>
    <row r="34" spans="9:9" x14ac:dyDescent="0.25">
      <c r="I34" s="34"/>
    </row>
    <row r="35" spans="9:9" x14ac:dyDescent="0.25">
      <c r="I35" s="34"/>
    </row>
    <row r="36" spans="9:9" x14ac:dyDescent="0.25">
      <c r="I36" s="34"/>
    </row>
    <row r="37" spans="9:9" x14ac:dyDescent="0.25">
      <c r="I37" s="34"/>
    </row>
    <row r="38" spans="9:9" x14ac:dyDescent="0.25">
      <c r="I38" s="34"/>
    </row>
    <row r="39" spans="9:9" x14ac:dyDescent="0.25">
      <c r="I39" s="34"/>
    </row>
    <row r="40" spans="9:9" x14ac:dyDescent="0.25">
      <c r="I40" s="34"/>
    </row>
    <row r="41" spans="9:9" x14ac:dyDescent="0.25">
      <c r="I41" s="34"/>
    </row>
    <row r="42" spans="9:9" x14ac:dyDescent="0.25">
      <c r="I42" s="34"/>
    </row>
    <row r="43" spans="9:9" x14ac:dyDescent="0.25">
      <c r="I43" s="34"/>
    </row>
    <row r="44" spans="9:9" x14ac:dyDescent="0.25">
      <c r="I44" s="34"/>
    </row>
    <row r="45" spans="9:9" x14ac:dyDescent="0.25">
      <c r="I45" s="34"/>
    </row>
    <row r="46" spans="9:9" x14ac:dyDescent="0.25">
      <c r="I46" s="34"/>
    </row>
    <row r="47" spans="9:9" x14ac:dyDescent="0.25">
      <c r="I47" s="34"/>
    </row>
  </sheetData>
  <dataValidations count="2">
    <dataValidation type="textLength" allowBlank="1" showInputMessage="1" showErrorMessage="1" error="Use two letter state abbreviations, please." prompt="Enter the client's state of resisdence." sqref="F2" xr:uid="{B94355B7-4AE3-4035-89FC-1DC04FB63A10}">
      <formula1>2</formula1>
      <formula2>2</formula2>
    </dataValidation>
    <dataValidation type="list" allowBlank="1" showInputMessage="1" showErrorMessage="1" sqref="J2:J23" xr:uid="{AAD4715C-B5E4-441C-B053-9086743A0760}">
      <formula1>"Business, Pleasure, Other, Not Stated"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zoomScaleNormal="100" workbookViewId="0">
      <selection activeCell="L6" sqref="L6"/>
    </sheetView>
  </sheetViews>
  <sheetFormatPr defaultRowHeight="13.8" x14ac:dyDescent="0.25"/>
  <cols>
    <col min="1" max="1" width="9.8984375" customWidth="1"/>
    <col min="2" max="2" width="10" customWidth="1"/>
    <col min="3" max="3" width="11.59765625" customWidth="1"/>
    <col min="4" max="4" width="14.19921875" customWidth="1"/>
    <col min="5" max="5" width="13.5" customWidth="1"/>
    <col min="6" max="6" width="32.19921875" customWidth="1"/>
    <col min="7" max="7" width="14.5" customWidth="1"/>
    <col min="8" max="8" width="15.59765625" customWidth="1"/>
    <col min="9" max="9" width="13.3984375" customWidth="1"/>
    <col min="11" max="13" width="17.5" customWidth="1"/>
    <col min="14" max="255" width="8"/>
    <col min="256" max="256" width="8.69921875" customWidth="1"/>
    <col min="257" max="257" width="8.8984375" customWidth="1"/>
    <col min="258" max="258" width="10.19921875" customWidth="1"/>
    <col min="259" max="259" width="12.5" bestFit="1" customWidth="1"/>
    <col min="260" max="260" width="11.8984375" customWidth="1"/>
    <col min="261" max="261" width="28.19921875" customWidth="1"/>
    <col min="262" max="262" width="12.69921875" customWidth="1"/>
    <col min="263" max="263" width="13.69921875" customWidth="1"/>
    <col min="264" max="264" width="11.69921875" customWidth="1"/>
    <col min="265" max="511" width="8"/>
    <col min="512" max="512" width="8.69921875" customWidth="1"/>
    <col min="513" max="513" width="8.8984375" customWidth="1"/>
    <col min="514" max="514" width="10.19921875" customWidth="1"/>
    <col min="515" max="515" width="12.5" bestFit="1" customWidth="1"/>
    <col min="516" max="516" width="11.8984375" customWidth="1"/>
    <col min="517" max="517" width="28.19921875" customWidth="1"/>
    <col min="518" max="518" width="12.69921875" customWidth="1"/>
    <col min="519" max="519" width="13.69921875" customWidth="1"/>
    <col min="520" max="520" width="11.69921875" customWidth="1"/>
    <col min="521" max="767" width="8"/>
    <col min="768" max="768" width="8.69921875" customWidth="1"/>
    <col min="769" max="769" width="8.8984375" customWidth="1"/>
    <col min="770" max="770" width="10.19921875" customWidth="1"/>
    <col min="771" max="771" width="12.5" bestFit="1" customWidth="1"/>
    <col min="772" max="772" width="11.8984375" customWidth="1"/>
    <col min="773" max="773" width="28.19921875" customWidth="1"/>
    <col min="774" max="774" width="12.69921875" customWidth="1"/>
    <col min="775" max="775" width="13.69921875" customWidth="1"/>
    <col min="776" max="776" width="11.69921875" customWidth="1"/>
    <col min="1024" max="1024" width="8.69921875" customWidth="1"/>
    <col min="1025" max="1025" width="8.8984375" customWidth="1"/>
    <col min="1026" max="1026" width="10.19921875" customWidth="1"/>
    <col min="1027" max="1027" width="12.5" bestFit="1" customWidth="1"/>
    <col min="1028" max="1028" width="11.8984375" customWidth="1"/>
    <col min="1029" max="1029" width="28.19921875" customWidth="1"/>
    <col min="1030" max="1030" width="12.69921875" customWidth="1"/>
    <col min="1031" max="1031" width="13.69921875" customWidth="1"/>
    <col min="1032" max="1032" width="11.69921875" customWidth="1"/>
    <col min="1033" max="1279" width="8"/>
    <col min="1280" max="1280" width="8.69921875" customWidth="1"/>
    <col min="1281" max="1281" width="8.8984375" customWidth="1"/>
    <col min="1282" max="1282" width="10.19921875" customWidth="1"/>
    <col min="1283" max="1283" width="12.5" bestFit="1" customWidth="1"/>
    <col min="1284" max="1284" width="11.8984375" customWidth="1"/>
    <col min="1285" max="1285" width="28.19921875" customWidth="1"/>
    <col min="1286" max="1286" width="12.69921875" customWidth="1"/>
    <col min="1287" max="1287" width="13.69921875" customWidth="1"/>
    <col min="1288" max="1288" width="11.69921875" customWidth="1"/>
    <col min="1289" max="1535" width="8"/>
    <col min="1536" max="1536" width="8.69921875" customWidth="1"/>
    <col min="1537" max="1537" width="8.8984375" customWidth="1"/>
    <col min="1538" max="1538" width="10.19921875" customWidth="1"/>
    <col min="1539" max="1539" width="12.5" bestFit="1" customWidth="1"/>
    <col min="1540" max="1540" width="11.8984375" customWidth="1"/>
    <col min="1541" max="1541" width="28.19921875" customWidth="1"/>
    <col min="1542" max="1542" width="12.69921875" customWidth="1"/>
    <col min="1543" max="1543" width="13.69921875" customWidth="1"/>
    <col min="1544" max="1544" width="11.69921875" customWidth="1"/>
    <col min="1545" max="1791" width="8"/>
    <col min="1792" max="1792" width="8.69921875" customWidth="1"/>
    <col min="1793" max="1793" width="8.8984375" customWidth="1"/>
    <col min="1794" max="1794" width="10.19921875" customWidth="1"/>
    <col min="1795" max="1795" width="12.5" bestFit="1" customWidth="1"/>
    <col min="1796" max="1796" width="11.8984375" customWidth="1"/>
    <col min="1797" max="1797" width="28.19921875" customWidth="1"/>
    <col min="1798" max="1798" width="12.69921875" customWidth="1"/>
    <col min="1799" max="1799" width="13.69921875" customWidth="1"/>
    <col min="1800" max="1800" width="11.69921875" customWidth="1"/>
    <col min="2048" max="2048" width="8.69921875" customWidth="1"/>
    <col min="2049" max="2049" width="8.8984375" customWidth="1"/>
    <col min="2050" max="2050" width="10.19921875" customWidth="1"/>
    <col min="2051" max="2051" width="12.5" bestFit="1" customWidth="1"/>
    <col min="2052" max="2052" width="11.8984375" customWidth="1"/>
    <col min="2053" max="2053" width="28.19921875" customWidth="1"/>
    <col min="2054" max="2054" width="12.69921875" customWidth="1"/>
    <col min="2055" max="2055" width="13.69921875" customWidth="1"/>
    <col min="2056" max="2056" width="11.69921875" customWidth="1"/>
    <col min="2057" max="2303" width="8"/>
    <col min="2304" max="2304" width="8.69921875" customWidth="1"/>
    <col min="2305" max="2305" width="8.8984375" customWidth="1"/>
    <col min="2306" max="2306" width="10.19921875" customWidth="1"/>
    <col min="2307" max="2307" width="12.5" bestFit="1" customWidth="1"/>
    <col min="2308" max="2308" width="11.8984375" customWidth="1"/>
    <col min="2309" max="2309" width="28.19921875" customWidth="1"/>
    <col min="2310" max="2310" width="12.69921875" customWidth="1"/>
    <col min="2311" max="2311" width="13.69921875" customWidth="1"/>
    <col min="2312" max="2312" width="11.69921875" customWidth="1"/>
    <col min="2313" max="2559" width="8"/>
    <col min="2560" max="2560" width="8.69921875" customWidth="1"/>
    <col min="2561" max="2561" width="8.8984375" customWidth="1"/>
    <col min="2562" max="2562" width="10.19921875" customWidth="1"/>
    <col min="2563" max="2563" width="12.5" bestFit="1" customWidth="1"/>
    <col min="2564" max="2564" width="11.8984375" customWidth="1"/>
    <col min="2565" max="2565" width="28.19921875" customWidth="1"/>
    <col min="2566" max="2566" width="12.69921875" customWidth="1"/>
    <col min="2567" max="2567" width="13.69921875" customWidth="1"/>
    <col min="2568" max="2568" width="11.69921875" customWidth="1"/>
    <col min="2569" max="2815" width="8"/>
    <col min="2816" max="2816" width="8.69921875" customWidth="1"/>
    <col min="2817" max="2817" width="8.8984375" customWidth="1"/>
    <col min="2818" max="2818" width="10.19921875" customWidth="1"/>
    <col min="2819" max="2819" width="12.5" bestFit="1" customWidth="1"/>
    <col min="2820" max="2820" width="11.8984375" customWidth="1"/>
    <col min="2821" max="2821" width="28.19921875" customWidth="1"/>
    <col min="2822" max="2822" width="12.69921875" customWidth="1"/>
    <col min="2823" max="2823" width="13.69921875" customWidth="1"/>
    <col min="2824" max="2824" width="11.69921875" customWidth="1"/>
    <col min="3072" max="3072" width="8.69921875" customWidth="1"/>
    <col min="3073" max="3073" width="8.8984375" customWidth="1"/>
    <col min="3074" max="3074" width="10.19921875" customWidth="1"/>
    <col min="3075" max="3075" width="12.5" bestFit="1" customWidth="1"/>
    <col min="3076" max="3076" width="11.8984375" customWidth="1"/>
    <col min="3077" max="3077" width="28.19921875" customWidth="1"/>
    <col min="3078" max="3078" width="12.69921875" customWidth="1"/>
    <col min="3079" max="3079" width="13.69921875" customWidth="1"/>
    <col min="3080" max="3080" width="11.69921875" customWidth="1"/>
    <col min="3081" max="3327" width="8"/>
    <col min="3328" max="3328" width="8.69921875" customWidth="1"/>
    <col min="3329" max="3329" width="8.8984375" customWidth="1"/>
    <col min="3330" max="3330" width="10.19921875" customWidth="1"/>
    <col min="3331" max="3331" width="12.5" bestFit="1" customWidth="1"/>
    <col min="3332" max="3332" width="11.8984375" customWidth="1"/>
    <col min="3333" max="3333" width="28.19921875" customWidth="1"/>
    <col min="3334" max="3334" width="12.69921875" customWidth="1"/>
    <col min="3335" max="3335" width="13.69921875" customWidth="1"/>
    <col min="3336" max="3336" width="11.69921875" customWidth="1"/>
    <col min="3337" max="3583" width="8"/>
    <col min="3584" max="3584" width="8.69921875" customWidth="1"/>
    <col min="3585" max="3585" width="8.8984375" customWidth="1"/>
    <col min="3586" max="3586" width="10.19921875" customWidth="1"/>
    <col min="3587" max="3587" width="12.5" bestFit="1" customWidth="1"/>
    <col min="3588" max="3588" width="11.8984375" customWidth="1"/>
    <col min="3589" max="3589" width="28.19921875" customWidth="1"/>
    <col min="3590" max="3590" width="12.69921875" customWidth="1"/>
    <col min="3591" max="3591" width="13.69921875" customWidth="1"/>
    <col min="3592" max="3592" width="11.69921875" customWidth="1"/>
    <col min="3593" max="3839" width="8"/>
    <col min="3840" max="3840" width="8.69921875" customWidth="1"/>
    <col min="3841" max="3841" width="8.8984375" customWidth="1"/>
    <col min="3842" max="3842" width="10.19921875" customWidth="1"/>
    <col min="3843" max="3843" width="12.5" bestFit="1" customWidth="1"/>
    <col min="3844" max="3844" width="11.8984375" customWidth="1"/>
    <col min="3845" max="3845" width="28.19921875" customWidth="1"/>
    <col min="3846" max="3846" width="12.69921875" customWidth="1"/>
    <col min="3847" max="3847" width="13.69921875" customWidth="1"/>
    <col min="3848" max="3848" width="11.69921875" customWidth="1"/>
    <col min="4096" max="4096" width="8.69921875" customWidth="1"/>
    <col min="4097" max="4097" width="8.8984375" customWidth="1"/>
    <col min="4098" max="4098" width="10.19921875" customWidth="1"/>
    <col min="4099" max="4099" width="12.5" bestFit="1" customWidth="1"/>
    <col min="4100" max="4100" width="11.8984375" customWidth="1"/>
    <col min="4101" max="4101" width="28.19921875" customWidth="1"/>
    <col min="4102" max="4102" width="12.69921875" customWidth="1"/>
    <col min="4103" max="4103" width="13.69921875" customWidth="1"/>
    <col min="4104" max="4104" width="11.69921875" customWidth="1"/>
    <col min="4105" max="4351" width="8"/>
    <col min="4352" max="4352" width="8.69921875" customWidth="1"/>
    <col min="4353" max="4353" width="8.8984375" customWidth="1"/>
    <col min="4354" max="4354" width="10.19921875" customWidth="1"/>
    <col min="4355" max="4355" width="12.5" bestFit="1" customWidth="1"/>
    <col min="4356" max="4356" width="11.8984375" customWidth="1"/>
    <col min="4357" max="4357" width="28.19921875" customWidth="1"/>
    <col min="4358" max="4358" width="12.69921875" customWidth="1"/>
    <col min="4359" max="4359" width="13.69921875" customWidth="1"/>
    <col min="4360" max="4360" width="11.69921875" customWidth="1"/>
    <col min="4361" max="4607" width="8"/>
    <col min="4608" max="4608" width="8.69921875" customWidth="1"/>
    <col min="4609" max="4609" width="8.8984375" customWidth="1"/>
    <col min="4610" max="4610" width="10.19921875" customWidth="1"/>
    <col min="4611" max="4611" width="12.5" bestFit="1" customWidth="1"/>
    <col min="4612" max="4612" width="11.8984375" customWidth="1"/>
    <col min="4613" max="4613" width="28.19921875" customWidth="1"/>
    <col min="4614" max="4614" width="12.69921875" customWidth="1"/>
    <col min="4615" max="4615" width="13.69921875" customWidth="1"/>
    <col min="4616" max="4616" width="11.69921875" customWidth="1"/>
    <col min="4617" max="4863" width="8"/>
    <col min="4864" max="4864" width="8.69921875" customWidth="1"/>
    <col min="4865" max="4865" width="8.8984375" customWidth="1"/>
    <col min="4866" max="4866" width="10.19921875" customWidth="1"/>
    <col min="4867" max="4867" width="12.5" bestFit="1" customWidth="1"/>
    <col min="4868" max="4868" width="11.8984375" customWidth="1"/>
    <col min="4869" max="4869" width="28.19921875" customWidth="1"/>
    <col min="4870" max="4870" width="12.69921875" customWidth="1"/>
    <col min="4871" max="4871" width="13.69921875" customWidth="1"/>
    <col min="4872" max="4872" width="11.69921875" customWidth="1"/>
    <col min="5120" max="5120" width="8.69921875" customWidth="1"/>
    <col min="5121" max="5121" width="8.8984375" customWidth="1"/>
    <col min="5122" max="5122" width="10.19921875" customWidth="1"/>
    <col min="5123" max="5123" width="12.5" bestFit="1" customWidth="1"/>
    <col min="5124" max="5124" width="11.8984375" customWidth="1"/>
    <col min="5125" max="5125" width="28.19921875" customWidth="1"/>
    <col min="5126" max="5126" width="12.69921875" customWidth="1"/>
    <col min="5127" max="5127" width="13.69921875" customWidth="1"/>
    <col min="5128" max="5128" width="11.69921875" customWidth="1"/>
    <col min="5129" max="5375" width="8"/>
    <col min="5376" max="5376" width="8.69921875" customWidth="1"/>
    <col min="5377" max="5377" width="8.8984375" customWidth="1"/>
    <col min="5378" max="5378" width="10.19921875" customWidth="1"/>
    <col min="5379" max="5379" width="12.5" bestFit="1" customWidth="1"/>
    <col min="5380" max="5380" width="11.8984375" customWidth="1"/>
    <col min="5381" max="5381" width="28.19921875" customWidth="1"/>
    <col min="5382" max="5382" width="12.69921875" customWidth="1"/>
    <col min="5383" max="5383" width="13.69921875" customWidth="1"/>
    <col min="5384" max="5384" width="11.69921875" customWidth="1"/>
    <col min="5385" max="5631" width="8"/>
    <col min="5632" max="5632" width="8.69921875" customWidth="1"/>
    <col min="5633" max="5633" width="8.8984375" customWidth="1"/>
    <col min="5634" max="5634" width="10.19921875" customWidth="1"/>
    <col min="5635" max="5635" width="12.5" bestFit="1" customWidth="1"/>
    <col min="5636" max="5636" width="11.8984375" customWidth="1"/>
    <col min="5637" max="5637" width="28.19921875" customWidth="1"/>
    <col min="5638" max="5638" width="12.69921875" customWidth="1"/>
    <col min="5639" max="5639" width="13.69921875" customWidth="1"/>
    <col min="5640" max="5640" width="11.69921875" customWidth="1"/>
    <col min="5641" max="5887" width="8"/>
    <col min="5888" max="5888" width="8.69921875" customWidth="1"/>
    <col min="5889" max="5889" width="8.8984375" customWidth="1"/>
    <col min="5890" max="5890" width="10.19921875" customWidth="1"/>
    <col min="5891" max="5891" width="12.5" bestFit="1" customWidth="1"/>
    <col min="5892" max="5892" width="11.8984375" customWidth="1"/>
    <col min="5893" max="5893" width="28.19921875" customWidth="1"/>
    <col min="5894" max="5894" width="12.69921875" customWidth="1"/>
    <col min="5895" max="5895" width="13.69921875" customWidth="1"/>
    <col min="5896" max="5896" width="11.69921875" customWidth="1"/>
    <col min="6144" max="6144" width="8.69921875" customWidth="1"/>
    <col min="6145" max="6145" width="8.8984375" customWidth="1"/>
    <col min="6146" max="6146" width="10.19921875" customWidth="1"/>
    <col min="6147" max="6147" width="12.5" bestFit="1" customWidth="1"/>
    <col min="6148" max="6148" width="11.8984375" customWidth="1"/>
    <col min="6149" max="6149" width="28.19921875" customWidth="1"/>
    <col min="6150" max="6150" width="12.69921875" customWidth="1"/>
    <col min="6151" max="6151" width="13.69921875" customWidth="1"/>
    <col min="6152" max="6152" width="11.69921875" customWidth="1"/>
    <col min="6153" max="6399" width="8"/>
    <col min="6400" max="6400" width="8.69921875" customWidth="1"/>
    <col min="6401" max="6401" width="8.8984375" customWidth="1"/>
    <col min="6402" max="6402" width="10.19921875" customWidth="1"/>
    <col min="6403" max="6403" width="12.5" bestFit="1" customWidth="1"/>
    <col min="6404" max="6404" width="11.8984375" customWidth="1"/>
    <col min="6405" max="6405" width="28.19921875" customWidth="1"/>
    <col min="6406" max="6406" width="12.69921875" customWidth="1"/>
    <col min="6407" max="6407" width="13.69921875" customWidth="1"/>
    <col min="6408" max="6408" width="11.69921875" customWidth="1"/>
    <col min="6409" max="6655" width="8"/>
    <col min="6656" max="6656" width="8.69921875" customWidth="1"/>
    <col min="6657" max="6657" width="8.8984375" customWidth="1"/>
    <col min="6658" max="6658" width="10.19921875" customWidth="1"/>
    <col min="6659" max="6659" width="12.5" bestFit="1" customWidth="1"/>
    <col min="6660" max="6660" width="11.8984375" customWidth="1"/>
    <col min="6661" max="6661" width="28.19921875" customWidth="1"/>
    <col min="6662" max="6662" width="12.69921875" customWidth="1"/>
    <col min="6663" max="6663" width="13.69921875" customWidth="1"/>
    <col min="6664" max="6664" width="11.69921875" customWidth="1"/>
    <col min="6665" max="6911" width="8"/>
    <col min="6912" max="6912" width="8.69921875" customWidth="1"/>
    <col min="6913" max="6913" width="8.8984375" customWidth="1"/>
    <col min="6914" max="6914" width="10.19921875" customWidth="1"/>
    <col min="6915" max="6915" width="12.5" bestFit="1" customWidth="1"/>
    <col min="6916" max="6916" width="11.8984375" customWidth="1"/>
    <col min="6917" max="6917" width="28.19921875" customWidth="1"/>
    <col min="6918" max="6918" width="12.69921875" customWidth="1"/>
    <col min="6919" max="6919" width="13.69921875" customWidth="1"/>
    <col min="6920" max="6920" width="11.69921875" customWidth="1"/>
    <col min="7168" max="7168" width="8.69921875" customWidth="1"/>
    <col min="7169" max="7169" width="8.8984375" customWidth="1"/>
    <col min="7170" max="7170" width="10.19921875" customWidth="1"/>
    <col min="7171" max="7171" width="12.5" bestFit="1" customWidth="1"/>
    <col min="7172" max="7172" width="11.8984375" customWidth="1"/>
    <col min="7173" max="7173" width="28.19921875" customWidth="1"/>
    <col min="7174" max="7174" width="12.69921875" customWidth="1"/>
    <col min="7175" max="7175" width="13.69921875" customWidth="1"/>
    <col min="7176" max="7176" width="11.69921875" customWidth="1"/>
    <col min="7177" max="7423" width="8"/>
    <col min="7424" max="7424" width="8.69921875" customWidth="1"/>
    <col min="7425" max="7425" width="8.8984375" customWidth="1"/>
    <col min="7426" max="7426" width="10.19921875" customWidth="1"/>
    <col min="7427" max="7427" width="12.5" bestFit="1" customWidth="1"/>
    <col min="7428" max="7428" width="11.8984375" customWidth="1"/>
    <col min="7429" max="7429" width="28.19921875" customWidth="1"/>
    <col min="7430" max="7430" width="12.69921875" customWidth="1"/>
    <col min="7431" max="7431" width="13.69921875" customWidth="1"/>
    <col min="7432" max="7432" width="11.69921875" customWidth="1"/>
    <col min="7433" max="7679" width="8"/>
    <col min="7680" max="7680" width="8.69921875" customWidth="1"/>
    <col min="7681" max="7681" width="8.8984375" customWidth="1"/>
    <col min="7682" max="7682" width="10.19921875" customWidth="1"/>
    <col min="7683" max="7683" width="12.5" bestFit="1" customWidth="1"/>
    <col min="7684" max="7684" width="11.8984375" customWidth="1"/>
    <col min="7685" max="7685" width="28.19921875" customWidth="1"/>
    <col min="7686" max="7686" width="12.69921875" customWidth="1"/>
    <col min="7687" max="7687" width="13.69921875" customWidth="1"/>
    <col min="7688" max="7688" width="11.69921875" customWidth="1"/>
    <col min="7689" max="7935" width="8"/>
    <col min="7936" max="7936" width="8.69921875" customWidth="1"/>
    <col min="7937" max="7937" width="8.8984375" customWidth="1"/>
    <col min="7938" max="7938" width="10.19921875" customWidth="1"/>
    <col min="7939" max="7939" width="12.5" bestFit="1" customWidth="1"/>
    <col min="7940" max="7940" width="11.8984375" customWidth="1"/>
    <col min="7941" max="7941" width="28.19921875" customWidth="1"/>
    <col min="7942" max="7942" width="12.69921875" customWidth="1"/>
    <col min="7943" max="7943" width="13.69921875" customWidth="1"/>
    <col min="7944" max="7944" width="11.69921875" customWidth="1"/>
    <col min="8192" max="8192" width="8.69921875" customWidth="1"/>
    <col min="8193" max="8193" width="8.8984375" customWidth="1"/>
    <col min="8194" max="8194" width="10.19921875" customWidth="1"/>
    <col min="8195" max="8195" width="12.5" bestFit="1" customWidth="1"/>
    <col min="8196" max="8196" width="11.8984375" customWidth="1"/>
    <col min="8197" max="8197" width="28.19921875" customWidth="1"/>
    <col min="8198" max="8198" width="12.69921875" customWidth="1"/>
    <col min="8199" max="8199" width="13.69921875" customWidth="1"/>
    <col min="8200" max="8200" width="11.69921875" customWidth="1"/>
    <col min="8201" max="8447" width="8"/>
    <col min="8448" max="8448" width="8.69921875" customWidth="1"/>
    <col min="8449" max="8449" width="8.8984375" customWidth="1"/>
    <col min="8450" max="8450" width="10.19921875" customWidth="1"/>
    <col min="8451" max="8451" width="12.5" bestFit="1" customWidth="1"/>
    <col min="8452" max="8452" width="11.8984375" customWidth="1"/>
    <col min="8453" max="8453" width="28.19921875" customWidth="1"/>
    <col min="8454" max="8454" width="12.69921875" customWidth="1"/>
    <col min="8455" max="8455" width="13.69921875" customWidth="1"/>
    <col min="8456" max="8456" width="11.69921875" customWidth="1"/>
    <col min="8457" max="8703" width="8"/>
    <col min="8704" max="8704" width="8.69921875" customWidth="1"/>
    <col min="8705" max="8705" width="8.8984375" customWidth="1"/>
    <col min="8706" max="8706" width="10.19921875" customWidth="1"/>
    <col min="8707" max="8707" width="12.5" bestFit="1" customWidth="1"/>
    <col min="8708" max="8708" width="11.8984375" customWidth="1"/>
    <col min="8709" max="8709" width="28.19921875" customWidth="1"/>
    <col min="8710" max="8710" width="12.69921875" customWidth="1"/>
    <col min="8711" max="8711" width="13.69921875" customWidth="1"/>
    <col min="8712" max="8712" width="11.69921875" customWidth="1"/>
    <col min="8713" max="8959" width="8"/>
    <col min="8960" max="8960" width="8.69921875" customWidth="1"/>
    <col min="8961" max="8961" width="8.8984375" customWidth="1"/>
    <col min="8962" max="8962" width="10.19921875" customWidth="1"/>
    <col min="8963" max="8963" width="12.5" bestFit="1" customWidth="1"/>
    <col min="8964" max="8964" width="11.8984375" customWidth="1"/>
    <col min="8965" max="8965" width="28.19921875" customWidth="1"/>
    <col min="8966" max="8966" width="12.69921875" customWidth="1"/>
    <col min="8967" max="8967" width="13.69921875" customWidth="1"/>
    <col min="8968" max="8968" width="11.69921875" customWidth="1"/>
    <col min="9216" max="9216" width="8.69921875" customWidth="1"/>
    <col min="9217" max="9217" width="8.8984375" customWidth="1"/>
    <col min="9218" max="9218" width="10.19921875" customWidth="1"/>
    <col min="9219" max="9219" width="12.5" bestFit="1" customWidth="1"/>
    <col min="9220" max="9220" width="11.8984375" customWidth="1"/>
    <col min="9221" max="9221" width="28.19921875" customWidth="1"/>
    <col min="9222" max="9222" width="12.69921875" customWidth="1"/>
    <col min="9223" max="9223" width="13.69921875" customWidth="1"/>
    <col min="9224" max="9224" width="11.69921875" customWidth="1"/>
    <col min="9225" max="9471" width="8"/>
    <col min="9472" max="9472" width="8.69921875" customWidth="1"/>
    <col min="9473" max="9473" width="8.8984375" customWidth="1"/>
    <col min="9474" max="9474" width="10.19921875" customWidth="1"/>
    <col min="9475" max="9475" width="12.5" bestFit="1" customWidth="1"/>
    <col min="9476" max="9476" width="11.8984375" customWidth="1"/>
    <col min="9477" max="9477" width="28.19921875" customWidth="1"/>
    <col min="9478" max="9478" width="12.69921875" customWidth="1"/>
    <col min="9479" max="9479" width="13.69921875" customWidth="1"/>
    <col min="9480" max="9480" width="11.69921875" customWidth="1"/>
    <col min="9481" max="9727" width="8"/>
    <col min="9728" max="9728" width="8.69921875" customWidth="1"/>
    <col min="9729" max="9729" width="8.8984375" customWidth="1"/>
    <col min="9730" max="9730" width="10.19921875" customWidth="1"/>
    <col min="9731" max="9731" width="12.5" bestFit="1" customWidth="1"/>
    <col min="9732" max="9732" width="11.8984375" customWidth="1"/>
    <col min="9733" max="9733" width="28.19921875" customWidth="1"/>
    <col min="9734" max="9734" width="12.69921875" customWidth="1"/>
    <col min="9735" max="9735" width="13.69921875" customWidth="1"/>
    <col min="9736" max="9736" width="11.69921875" customWidth="1"/>
    <col min="9737" max="9983" width="8"/>
    <col min="9984" max="9984" width="8.69921875" customWidth="1"/>
    <col min="9985" max="9985" width="8.8984375" customWidth="1"/>
    <col min="9986" max="9986" width="10.19921875" customWidth="1"/>
    <col min="9987" max="9987" width="12.5" bestFit="1" customWidth="1"/>
    <col min="9988" max="9988" width="11.8984375" customWidth="1"/>
    <col min="9989" max="9989" width="28.19921875" customWidth="1"/>
    <col min="9990" max="9990" width="12.69921875" customWidth="1"/>
    <col min="9991" max="9991" width="13.69921875" customWidth="1"/>
    <col min="9992" max="9992" width="11.69921875" customWidth="1"/>
    <col min="10240" max="10240" width="8.69921875" customWidth="1"/>
    <col min="10241" max="10241" width="8.8984375" customWidth="1"/>
    <col min="10242" max="10242" width="10.19921875" customWidth="1"/>
    <col min="10243" max="10243" width="12.5" bestFit="1" customWidth="1"/>
    <col min="10244" max="10244" width="11.8984375" customWidth="1"/>
    <col min="10245" max="10245" width="28.19921875" customWidth="1"/>
    <col min="10246" max="10246" width="12.69921875" customWidth="1"/>
    <col min="10247" max="10247" width="13.69921875" customWidth="1"/>
    <col min="10248" max="10248" width="11.69921875" customWidth="1"/>
    <col min="10249" max="10495" width="8"/>
    <col min="10496" max="10496" width="8.69921875" customWidth="1"/>
    <col min="10497" max="10497" width="8.8984375" customWidth="1"/>
    <col min="10498" max="10498" width="10.19921875" customWidth="1"/>
    <col min="10499" max="10499" width="12.5" bestFit="1" customWidth="1"/>
    <col min="10500" max="10500" width="11.8984375" customWidth="1"/>
    <col min="10501" max="10501" width="28.19921875" customWidth="1"/>
    <col min="10502" max="10502" width="12.69921875" customWidth="1"/>
    <col min="10503" max="10503" width="13.69921875" customWidth="1"/>
    <col min="10504" max="10504" width="11.69921875" customWidth="1"/>
    <col min="10505" max="10751" width="8"/>
    <col min="10752" max="10752" width="8.69921875" customWidth="1"/>
    <col min="10753" max="10753" width="8.8984375" customWidth="1"/>
    <col min="10754" max="10754" width="10.19921875" customWidth="1"/>
    <col min="10755" max="10755" width="12.5" bestFit="1" customWidth="1"/>
    <col min="10756" max="10756" width="11.8984375" customWidth="1"/>
    <col min="10757" max="10757" width="28.19921875" customWidth="1"/>
    <col min="10758" max="10758" width="12.69921875" customWidth="1"/>
    <col min="10759" max="10759" width="13.69921875" customWidth="1"/>
    <col min="10760" max="10760" width="11.69921875" customWidth="1"/>
    <col min="10761" max="11007" width="8"/>
    <col min="11008" max="11008" width="8.69921875" customWidth="1"/>
    <col min="11009" max="11009" width="8.8984375" customWidth="1"/>
    <col min="11010" max="11010" width="10.19921875" customWidth="1"/>
    <col min="11011" max="11011" width="12.5" bestFit="1" customWidth="1"/>
    <col min="11012" max="11012" width="11.8984375" customWidth="1"/>
    <col min="11013" max="11013" width="28.19921875" customWidth="1"/>
    <col min="11014" max="11014" width="12.69921875" customWidth="1"/>
    <col min="11015" max="11015" width="13.69921875" customWidth="1"/>
    <col min="11016" max="11016" width="11.69921875" customWidth="1"/>
    <col min="11264" max="11264" width="8.69921875" customWidth="1"/>
    <col min="11265" max="11265" width="8.8984375" customWidth="1"/>
    <col min="11266" max="11266" width="10.19921875" customWidth="1"/>
    <col min="11267" max="11267" width="12.5" bestFit="1" customWidth="1"/>
    <col min="11268" max="11268" width="11.8984375" customWidth="1"/>
    <col min="11269" max="11269" width="28.19921875" customWidth="1"/>
    <col min="11270" max="11270" width="12.69921875" customWidth="1"/>
    <col min="11271" max="11271" width="13.69921875" customWidth="1"/>
    <col min="11272" max="11272" width="11.69921875" customWidth="1"/>
    <col min="11273" max="11519" width="8"/>
    <col min="11520" max="11520" width="8.69921875" customWidth="1"/>
    <col min="11521" max="11521" width="8.8984375" customWidth="1"/>
    <col min="11522" max="11522" width="10.19921875" customWidth="1"/>
    <col min="11523" max="11523" width="12.5" bestFit="1" customWidth="1"/>
    <col min="11524" max="11524" width="11.8984375" customWidth="1"/>
    <col min="11525" max="11525" width="28.19921875" customWidth="1"/>
    <col min="11526" max="11526" width="12.69921875" customWidth="1"/>
    <col min="11527" max="11527" width="13.69921875" customWidth="1"/>
    <col min="11528" max="11528" width="11.69921875" customWidth="1"/>
    <col min="11529" max="11775" width="8"/>
    <col min="11776" max="11776" width="8.69921875" customWidth="1"/>
    <col min="11777" max="11777" width="8.8984375" customWidth="1"/>
    <col min="11778" max="11778" width="10.19921875" customWidth="1"/>
    <col min="11779" max="11779" width="12.5" bestFit="1" customWidth="1"/>
    <col min="11780" max="11780" width="11.8984375" customWidth="1"/>
    <col min="11781" max="11781" width="28.19921875" customWidth="1"/>
    <col min="11782" max="11782" width="12.69921875" customWidth="1"/>
    <col min="11783" max="11783" width="13.69921875" customWidth="1"/>
    <col min="11784" max="11784" width="11.69921875" customWidth="1"/>
    <col min="11785" max="12031" width="8"/>
    <col min="12032" max="12032" width="8.69921875" customWidth="1"/>
    <col min="12033" max="12033" width="8.8984375" customWidth="1"/>
    <col min="12034" max="12034" width="10.19921875" customWidth="1"/>
    <col min="12035" max="12035" width="12.5" bestFit="1" customWidth="1"/>
    <col min="12036" max="12036" width="11.8984375" customWidth="1"/>
    <col min="12037" max="12037" width="28.19921875" customWidth="1"/>
    <col min="12038" max="12038" width="12.69921875" customWidth="1"/>
    <col min="12039" max="12039" width="13.69921875" customWidth="1"/>
    <col min="12040" max="12040" width="11.69921875" customWidth="1"/>
    <col min="12288" max="12288" width="8.69921875" customWidth="1"/>
    <col min="12289" max="12289" width="8.8984375" customWidth="1"/>
    <col min="12290" max="12290" width="10.19921875" customWidth="1"/>
    <col min="12291" max="12291" width="12.5" bestFit="1" customWidth="1"/>
    <col min="12292" max="12292" width="11.8984375" customWidth="1"/>
    <col min="12293" max="12293" width="28.19921875" customWidth="1"/>
    <col min="12294" max="12294" width="12.69921875" customWidth="1"/>
    <col min="12295" max="12295" width="13.69921875" customWidth="1"/>
    <col min="12296" max="12296" width="11.69921875" customWidth="1"/>
    <col min="12297" max="12543" width="8"/>
    <col min="12544" max="12544" width="8.69921875" customWidth="1"/>
    <col min="12545" max="12545" width="8.8984375" customWidth="1"/>
    <col min="12546" max="12546" width="10.19921875" customWidth="1"/>
    <col min="12547" max="12547" width="12.5" bestFit="1" customWidth="1"/>
    <col min="12548" max="12548" width="11.8984375" customWidth="1"/>
    <col min="12549" max="12549" width="28.19921875" customWidth="1"/>
    <col min="12550" max="12550" width="12.69921875" customWidth="1"/>
    <col min="12551" max="12551" width="13.69921875" customWidth="1"/>
    <col min="12552" max="12552" width="11.69921875" customWidth="1"/>
    <col min="12553" max="12799" width="8"/>
    <col min="12800" max="12800" width="8.69921875" customWidth="1"/>
    <col min="12801" max="12801" width="8.8984375" customWidth="1"/>
    <col min="12802" max="12802" width="10.19921875" customWidth="1"/>
    <col min="12803" max="12803" width="12.5" bestFit="1" customWidth="1"/>
    <col min="12804" max="12804" width="11.8984375" customWidth="1"/>
    <col min="12805" max="12805" width="28.19921875" customWidth="1"/>
    <col min="12806" max="12806" width="12.69921875" customWidth="1"/>
    <col min="12807" max="12807" width="13.69921875" customWidth="1"/>
    <col min="12808" max="12808" width="11.69921875" customWidth="1"/>
    <col min="12809" max="13055" width="8"/>
    <col min="13056" max="13056" width="8.69921875" customWidth="1"/>
    <col min="13057" max="13057" width="8.8984375" customWidth="1"/>
    <col min="13058" max="13058" width="10.19921875" customWidth="1"/>
    <col min="13059" max="13059" width="12.5" bestFit="1" customWidth="1"/>
    <col min="13060" max="13060" width="11.8984375" customWidth="1"/>
    <col min="13061" max="13061" width="28.19921875" customWidth="1"/>
    <col min="13062" max="13062" width="12.69921875" customWidth="1"/>
    <col min="13063" max="13063" width="13.69921875" customWidth="1"/>
    <col min="13064" max="13064" width="11.69921875" customWidth="1"/>
    <col min="13312" max="13312" width="8.69921875" customWidth="1"/>
    <col min="13313" max="13313" width="8.8984375" customWidth="1"/>
    <col min="13314" max="13314" width="10.19921875" customWidth="1"/>
    <col min="13315" max="13315" width="12.5" bestFit="1" customWidth="1"/>
    <col min="13316" max="13316" width="11.8984375" customWidth="1"/>
    <col min="13317" max="13317" width="28.19921875" customWidth="1"/>
    <col min="13318" max="13318" width="12.69921875" customWidth="1"/>
    <col min="13319" max="13319" width="13.69921875" customWidth="1"/>
    <col min="13320" max="13320" width="11.69921875" customWidth="1"/>
    <col min="13321" max="13567" width="8"/>
    <col min="13568" max="13568" width="8.69921875" customWidth="1"/>
    <col min="13569" max="13569" width="8.8984375" customWidth="1"/>
    <col min="13570" max="13570" width="10.19921875" customWidth="1"/>
    <col min="13571" max="13571" width="12.5" bestFit="1" customWidth="1"/>
    <col min="13572" max="13572" width="11.8984375" customWidth="1"/>
    <col min="13573" max="13573" width="28.19921875" customWidth="1"/>
    <col min="13574" max="13574" width="12.69921875" customWidth="1"/>
    <col min="13575" max="13575" width="13.69921875" customWidth="1"/>
    <col min="13576" max="13576" width="11.69921875" customWidth="1"/>
    <col min="13577" max="13823" width="8"/>
    <col min="13824" max="13824" width="8.69921875" customWidth="1"/>
    <col min="13825" max="13825" width="8.8984375" customWidth="1"/>
    <col min="13826" max="13826" width="10.19921875" customWidth="1"/>
    <col min="13827" max="13827" width="12.5" bestFit="1" customWidth="1"/>
    <col min="13828" max="13828" width="11.8984375" customWidth="1"/>
    <col min="13829" max="13829" width="28.19921875" customWidth="1"/>
    <col min="13830" max="13830" width="12.69921875" customWidth="1"/>
    <col min="13831" max="13831" width="13.69921875" customWidth="1"/>
    <col min="13832" max="13832" width="11.69921875" customWidth="1"/>
    <col min="13833" max="14079" width="8"/>
    <col min="14080" max="14080" width="8.69921875" customWidth="1"/>
    <col min="14081" max="14081" width="8.8984375" customWidth="1"/>
    <col min="14082" max="14082" width="10.19921875" customWidth="1"/>
    <col min="14083" max="14083" width="12.5" bestFit="1" customWidth="1"/>
    <col min="14084" max="14084" width="11.8984375" customWidth="1"/>
    <col min="14085" max="14085" width="28.19921875" customWidth="1"/>
    <col min="14086" max="14086" width="12.69921875" customWidth="1"/>
    <col min="14087" max="14087" width="13.69921875" customWidth="1"/>
    <col min="14088" max="14088" width="11.69921875" customWidth="1"/>
    <col min="14336" max="14336" width="8.69921875" customWidth="1"/>
    <col min="14337" max="14337" width="8.8984375" customWidth="1"/>
    <col min="14338" max="14338" width="10.19921875" customWidth="1"/>
    <col min="14339" max="14339" width="12.5" bestFit="1" customWidth="1"/>
    <col min="14340" max="14340" width="11.8984375" customWidth="1"/>
    <col min="14341" max="14341" width="28.19921875" customWidth="1"/>
    <col min="14342" max="14342" width="12.69921875" customWidth="1"/>
    <col min="14343" max="14343" width="13.69921875" customWidth="1"/>
    <col min="14344" max="14344" width="11.69921875" customWidth="1"/>
    <col min="14345" max="14591" width="8"/>
    <col min="14592" max="14592" width="8.69921875" customWidth="1"/>
    <col min="14593" max="14593" width="8.8984375" customWidth="1"/>
    <col min="14594" max="14594" width="10.19921875" customWidth="1"/>
    <col min="14595" max="14595" width="12.5" bestFit="1" customWidth="1"/>
    <col min="14596" max="14596" width="11.8984375" customWidth="1"/>
    <col min="14597" max="14597" width="28.19921875" customWidth="1"/>
    <col min="14598" max="14598" width="12.69921875" customWidth="1"/>
    <col min="14599" max="14599" width="13.69921875" customWidth="1"/>
    <col min="14600" max="14600" width="11.69921875" customWidth="1"/>
    <col min="14601" max="14847" width="8"/>
    <col min="14848" max="14848" width="8.69921875" customWidth="1"/>
    <col min="14849" max="14849" width="8.8984375" customWidth="1"/>
    <col min="14850" max="14850" width="10.19921875" customWidth="1"/>
    <col min="14851" max="14851" width="12.5" bestFit="1" customWidth="1"/>
    <col min="14852" max="14852" width="11.8984375" customWidth="1"/>
    <col min="14853" max="14853" width="28.19921875" customWidth="1"/>
    <col min="14854" max="14854" width="12.69921875" customWidth="1"/>
    <col min="14855" max="14855" width="13.69921875" customWidth="1"/>
    <col min="14856" max="14856" width="11.69921875" customWidth="1"/>
    <col min="14857" max="15103" width="8"/>
    <col min="15104" max="15104" width="8.69921875" customWidth="1"/>
    <col min="15105" max="15105" width="8.8984375" customWidth="1"/>
    <col min="15106" max="15106" width="10.19921875" customWidth="1"/>
    <col min="15107" max="15107" width="12.5" bestFit="1" customWidth="1"/>
    <col min="15108" max="15108" width="11.8984375" customWidth="1"/>
    <col min="15109" max="15109" width="28.19921875" customWidth="1"/>
    <col min="15110" max="15110" width="12.69921875" customWidth="1"/>
    <col min="15111" max="15111" width="13.69921875" customWidth="1"/>
    <col min="15112" max="15112" width="11.69921875" customWidth="1"/>
    <col min="15360" max="15360" width="8.69921875" customWidth="1"/>
    <col min="15361" max="15361" width="8.8984375" customWidth="1"/>
    <col min="15362" max="15362" width="10.19921875" customWidth="1"/>
    <col min="15363" max="15363" width="12.5" bestFit="1" customWidth="1"/>
    <col min="15364" max="15364" width="11.8984375" customWidth="1"/>
    <col min="15365" max="15365" width="28.19921875" customWidth="1"/>
    <col min="15366" max="15366" width="12.69921875" customWidth="1"/>
    <col min="15367" max="15367" width="13.69921875" customWidth="1"/>
    <col min="15368" max="15368" width="11.69921875" customWidth="1"/>
    <col min="15369" max="15615" width="8"/>
    <col min="15616" max="15616" width="8.69921875" customWidth="1"/>
    <col min="15617" max="15617" width="8.8984375" customWidth="1"/>
    <col min="15618" max="15618" width="10.19921875" customWidth="1"/>
    <col min="15619" max="15619" width="12.5" bestFit="1" customWidth="1"/>
    <col min="15620" max="15620" width="11.8984375" customWidth="1"/>
    <col min="15621" max="15621" width="28.19921875" customWidth="1"/>
    <col min="15622" max="15622" width="12.69921875" customWidth="1"/>
    <col min="15623" max="15623" width="13.69921875" customWidth="1"/>
    <col min="15624" max="15624" width="11.69921875" customWidth="1"/>
    <col min="15625" max="15871" width="8"/>
    <col min="15872" max="15872" width="8.69921875" customWidth="1"/>
    <col min="15873" max="15873" width="8.8984375" customWidth="1"/>
    <col min="15874" max="15874" width="10.19921875" customWidth="1"/>
    <col min="15875" max="15875" width="12.5" bestFit="1" customWidth="1"/>
    <col min="15876" max="15876" width="11.8984375" customWidth="1"/>
    <col min="15877" max="15877" width="28.19921875" customWidth="1"/>
    <col min="15878" max="15878" width="12.69921875" customWidth="1"/>
    <col min="15879" max="15879" width="13.69921875" customWidth="1"/>
    <col min="15880" max="15880" width="11.69921875" customWidth="1"/>
    <col min="15881" max="16127" width="8"/>
    <col min="16128" max="16128" width="8.69921875" customWidth="1"/>
    <col min="16129" max="16129" width="8.8984375" customWidth="1"/>
    <col min="16130" max="16130" width="10.19921875" customWidth="1"/>
    <col min="16131" max="16131" width="12.5" bestFit="1" customWidth="1"/>
    <col min="16132" max="16132" width="11.8984375" customWidth="1"/>
    <col min="16133" max="16133" width="28.19921875" customWidth="1"/>
    <col min="16134" max="16134" width="12.69921875" customWidth="1"/>
    <col min="16135" max="16135" width="13.69921875" customWidth="1"/>
    <col min="16136" max="16136" width="11.69921875" customWidth="1"/>
  </cols>
  <sheetData>
    <row r="1" spans="1:13" ht="24" x14ac:dyDescent="0.5">
      <c r="A1" s="1" t="s">
        <v>131</v>
      </c>
    </row>
    <row r="2" spans="1:13" ht="18" thickBot="1" x14ac:dyDescent="0.4">
      <c r="A2" s="2" t="s">
        <v>0</v>
      </c>
    </row>
    <row r="3" spans="1:13" ht="14.4" thickTop="1" x14ac:dyDescent="0.25"/>
    <row r="4" spans="1:13" x14ac:dyDescent="0.25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1" t="s">
        <v>7</v>
      </c>
      <c r="H4" s="21" t="s">
        <v>8</v>
      </c>
      <c r="I4" s="22" t="s">
        <v>9</v>
      </c>
      <c r="K4" s="23" t="s">
        <v>1</v>
      </c>
      <c r="L4" s="23" t="s">
        <v>4</v>
      </c>
      <c r="M4" s="23" t="s">
        <v>5</v>
      </c>
    </row>
    <row r="5" spans="1:13" x14ac:dyDescent="0.25">
      <c r="A5" s="3" t="s">
        <v>10</v>
      </c>
      <c r="B5" s="4" t="s">
        <v>11</v>
      </c>
      <c r="C5" s="4">
        <v>2</v>
      </c>
      <c r="D5" s="5">
        <v>650</v>
      </c>
      <c r="E5" s="4" t="s">
        <v>12</v>
      </c>
      <c r="F5" s="4"/>
      <c r="G5" s="6" t="s">
        <v>13</v>
      </c>
      <c r="H5" s="6" t="s">
        <v>14</v>
      </c>
      <c r="I5" s="12" t="s">
        <v>15</v>
      </c>
      <c r="K5" t="s">
        <v>123</v>
      </c>
      <c r="L5" s="35" cm="1">
        <f t="array" ref="L5:M5">_xlfn.XLOOKUP(K5,A5:A60,D5:E60)</f>
        <v>3150</v>
      </c>
      <c r="M5" t="str">
        <v>Rochester</v>
      </c>
    </row>
    <row r="6" spans="1:13" x14ac:dyDescent="0.25">
      <c r="A6" s="3" t="s">
        <v>16</v>
      </c>
      <c r="B6" s="4" t="s">
        <v>17</v>
      </c>
      <c r="C6" s="4">
        <v>5</v>
      </c>
      <c r="D6" s="5">
        <v>1410</v>
      </c>
      <c r="E6" s="4" t="s">
        <v>12</v>
      </c>
      <c r="F6" s="4"/>
      <c r="G6" s="7">
        <v>496333334</v>
      </c>
      <c r="H6" s="8">
        <v>3934</v>
      </c>
      <c r="I6" s="12"/>
      <c r="K6" t="s">
        <v>125</v>
      </c>
      <c r="L6" s="35" cm="1">
        <f t="array" ref="L6:M6">_xlfn.XLOOKUP(K6, A5:A60, D5:E60)</f>
        <v>1400</v>
      </c>
      <c r="M6" t="str">
        <v>St. Paul</v>
      </c>
    </row>
    <row r="7" spans="1:13" x14ac:dyDescent="0.25">
      <c r="A7" s="3" t="s">
        <v>18</v>
      </c>
      <c r="B7" s="4" t="s">
        <v>19</v>
      </c>
      <c r="C7" s="4">
        <v>7</v>
      </c>
      <c r="D7" s="5">
        <v>2450</v>
      </c>
      <c r="E7" s="4" t="s">
        <v>20</v>
      </c>
      <c r="F7" s="4"/>
      <c r="G7" s="7">
        <v>481048830</v>
      </c>
      <c r="H7" s="9">
        <v>4055</v>
      </c>
      <c r="I7" s="12"/>
    </row>
    <row r="8" spans="1:13" x14ac:dyDescent="0.25">
      <c r="A8" s="3" t="s">
        <v>21</v>
      </c>
      <c r="B8" s="4" t="s">
        <v>22</v>
      </c>
      <c r="C8" s="4">
        <v>3</v>
      </c>
      <c r="D8" s="5">
        <v>1050</v>
      </c>
      <c r="E8" s="4" t="s">
        <v>23</v>
      </c>
      <c r="F8" s="4"/>
      <c r="G8" s="7">
        <v>475825555</v>
      </c>
      <c r="H8" s="9">
        <v>2345</v>
      </c>
      <c r="I8" s="12" t="s">
        <v>15</v>
      </c>
    </row>
    <row r="9" spans="1:13" x14ac:dyDescent="0.25">
      <c r="A9" s="3" t="s">
        <v>24</v>
      </c>
      <c r="B9" s="4" t="s">
        <v>25</v>
      </c>
      <c r="C9" s="4">
        <v>4</v>
      </c>
      <c r="D9" s="5">
        <v>1400</v>
      </c>
      <c r="E9" s="4" t="s">
        <v>12</v>
      </c>
      <c r="F9" s="4"/>
      <c r="G9" s="7">
        <v>381235205</v>
      </c>
      <c r="H9" s="8">
        <v>4958</v>
      </c>
      <c r="I9" s="12" t="s">
        <v>15</v>
      </c>
    </row>
    <row r="10" spans="1:13" x14ac:dyDescent="0.25">
      <c r="A10" s="3" t="s">
        <v>26</v>
      </c>
      <c r="B10" s="4" t="s">
        <v>27</v>
      </c>
      <c r="C10" s="4">
        <v>2</v>
      </c>
      <c r="D10" s="5">
        <v>700</v>
      </c>
      <c r="E10" s="4" t="s">
        <v>28</v>
      </c>
      <c r="F10" s="4"/>
      <c r="G10" s="7">
        <v>220830283</v>
      </c>
      <c r="H10" s="8">
        <v>2934</v>
      </c>
      <c r="I10" s="12"/>
    </row>
    <row r="11" spans="1:13" x14ac:dyDescent="0.25">
      <c r="A11" s="3" t="s">
        <v>29</v>
      </c>
      <c r="B11" s="4" t="s">
        <v>30</v>
      </c>
      <c r="C11" s="4">
        <v>8</v>
      </c>
      <c r="D11" s="5">
        <v>2800</v>
      </c>
      <c r="E11" s="4" t="s">
        <v>31</v>
      </c>
      <c r="F11" s="4"/>
      <c r="G11" s="7">
        <v>29403048</v>
      </c>
      <c r="H11" s="8">
        <v>3463</v>
      </c>
      <c r="I11" s="12"/>
    </row>
    <row r="12" spans="1:13" x14ac:dyDescent="0.25">
      <c r="A12" s="3" t="s">
        <v>32</v>
      </c>
      <c r="B12" s="4" t="s">
        <v>33</v>
      </c>
      <c r="C12" s="4">
        <v>1</v>
      </c>
      <c r="D12" s="5">
        <v>350</v>
      </c>
      <c r="E12" s="4" t="s">
        <v>34</v>
      </c>
      <c r="F12" s="4"/>
      <c r="G12" s="10" t="s">
        <v>35</v>
      </c>
      <c r="H12" s="11">
        <v>9548</v>
      </c>
      <c r="I12" s="12" t="s">
        <v>15</v>
      </c>
    </row>
    <row r="13" spans="1:13" x14ac:dyDescent="0.25">
      <c r="A13" s="3" t="s">
        <v>36</v>
      </c>
      <c r="B13" s="4" t="s">
        <v>37</v>
      </c>
      <c r="C13" s="4">
        <v>0</v>
      </c>
      <c r="D13" s="5">
        <v>0</v>
      </c>
      <c r="E13" s="4" t="s">
        <v>38</v>
      </c>
      <c r="F13" s="4" t="s">
        <v>39</v>
      </c>
      <c r="G13" s="7">
        <v>621349282</v>
      </c>
      <c r="H13" s="11">
        <v>2395</v>
      </c>
      <c r="I13" s="12"/>
    </row>
    <row r="14" spans="1:13" x14ac:dyDescent="0.25">
      <c r="A14" s="3" t="s">
        <v>40</v>
      </c>
      <c r="B14" s="4" t="s">
        <v>41</v>
      </c>
      <c r="C14" s="4">
        <v>5</v>
      </c>
      <c r="D14" s="5">
        <v>1750</v>
      </c>
      <c r="E14" s="4" t="s">
        <v>42</v>
      </c>
      <c r="F14" s="4"/>
      <c r="G14" s="7">
        <v>423890626</v>
      </c>
      <c r="H14" s="8">
        <v>3474</v>
      </c>
      <c r="I14" s="12" t="s">
        <v>15</v>
      </c>
    </row>
    <row r="15" spans="1:13" x14ac:dyDescent="0.25">
      <c r="A15" s="3" t="s">
        <v>43</v>
      </c>
      <c r="B15" s="4" t="s">
        <v>44</v>
      </c>
      <c r="C15" s="4">
        <v>13</v>
      </c>
      <c r="D15" s="5">
        <v>4550</v>
      </c>
      <c r="E15" s="4" t="s">
        <v>45</v>
      </c>
      <c r="F15" s="4"/>
      <c r="G15" s="7">
        <v>52332093</v>
      </c>
      <c r="H15" s="8">
        <v>4583</v>
      </c>
      <c r="I15" s="12" t="s">
        <v>15</v>
      </c>
    </row>
    <row r="16" spans="1:13" x14ac:dyDescent="0.25">
      <c r="A16" s="3" t="s">
        <v>46</v>
      </c>
      <c r="B16" s="4" t="s">
        <v>47</v>
      </c>
      <c r="C16" s="4">
        <v>6</v>
      </c>
      <c r="D16" s="5">
        <v>2100</v>
      </c>
      <c r="E16" s="4" t="s">
        <v>48</v>
      </c>
      <c r="F16" s="4"/>
      <c r="G16" s="7">
        <v>563091818</v>
      </c>
      <c r="H16" s="8">
        <v>4096</v>
      </c>
      <c r="I16" s="12"/>
    </row>
    <row r="17" spans="1:9" x14ac:dyDescent="0.25">
      <c r="A17" s="3" t="s">
        <v>49</v>
      </c>
      <c r="B17" s="4" t="s">
        <v>50</v>
      </c>
      <c r="C17" s="4">
        <v>7</v>
      </c>
      <c r="D17" s="5">
        <v>2450</v>
      </c>
      <c r="E17" s="4" t="s">
        <v>51</v>
      </c>
      <c r="F17" s="4"/>
      <c r="G17" s="7">
        <v>34593311</v>
      </c>
      <c r="H17" s="8">
        <v>9855</v>
      </c>
      <c r="I17" s="12"/>
    </row>
    <row r="18" spans="1:9" x14ac:dyDescent="0.25">
      <c r="A18" s="3" t="s">
        <v>52</v>
      </c>
      <c r="B18" s="4" t="s">
        <v>53</v>
      </c>
      <c r="C18" s="4">
        <v>9</v>
      </c>
      <c r="D18" s="5">
        <v>3150</v>
      </c>
      <c r="E18" s="4" t="s">
        <v>31</v>
      </c>
      <c r="F18" s="4"/>
      <c r="G18" s="7">
        <v>457349411</v>
      </c>
      <c r="H18" s="9">
        <v>9567</v>
      </c>
      <c r="I18" s="12"/>
    </row>
    <row r="19" spans="1:9" x14ac:dyDescent="0.25">
      <c r="A19" s="3" t="s">
        <v>54</v>
      </c>
      <c r="B19" s="4" t="s">
        <v>55</v>
      </c>
      <c r="C19" s="4">
        <v>7</v>
      </c>
      <c r="D19" s="5">
        <v>2450</v>
      </c>
      <c r="E19" s="4" t="s">
        <v>12</v>
      </c>
      <c r="F19" s="4"/>
      <c r="G19" s="7">
        <v>475661036</v>
      </c>
      <c r="H19" s="8">
        <v>4586</v>
      </c>
      <c r="I19" s="12" t="s">
        <v>15</v>
      </c>
    </row>
    <row r="20" spans="1:9" x14ac:dyDescent="0.25">
      <c r="A20" s="3" t="s">
        <v>56</v>
      </c>
      <c r="B20" s="4" t="s">
        <v>57</v>
      </c>
      <c r="C20" s="4">
        <v>2</v>
      </c>
      <c r="D20" s="5">
        <v>700</v>
      </c>
      <c r="E20" s="4" t="s">
        <v>48</v>
      </c>
      <c r="F20" s="4"/>
      <c r="G20" s="7">
        <v>450232301</v>
      </c>
      <c r="H20" s="8">
        <v>5659</v>
      </c>
      <c r="I20" s="12" t="s">
        <v>15</v>
      </c>
    </row>
    <row r="21" spans="1:9" x14ac:dyDescent="0.25">
      <c r="A21" s="3" t="s">
        <v>58</v>
      </c>
      <c r="B21" s="4" t="s">
        <v>59</v>
      </c>
      <c r="C21" s="4">
        <v>5</v>
      </c>
      <c r="D21" s="5">
        <v>1750</v>
      </c>
      <c r="E21" s="4" t="s">
        <v>45</v>
      </c>
      <c r="F21" s="4"/>
      <c r="G21" s="7">
        <v>468235239</v>
      </c>
      <c r="H21" s="8">
        <v>9767</v>
      </c>
      <c r="I21" s="12"/>
    </row>
    <row r="22" spans="1:9" x14ac:dyDescent="0.25">
      <c r="A22" s="3" t="s">
        <v>60</v>
      </c>
      <c r="B22" s="4" t="s">
        <v>61</v>
      </c>
      <c r="C22" s="4">
        <v>7</v>
      </c>
      <c r="D22" s="5">
        <v>2450</v>
      </c>
      <c r="E22" s="4" t="s">
        <v>38</v>
      </c>
      <c r="F22" s="4"/>
      <c r="G22" s="7">
        <v>458732332</v>
      </c>
      <c r="H22" s="11">
        <v>7985</v>
      </c>
      <c r="I22" s="12" t="s">
        <v>15</v>
      </c>
    </row>
    <row r="23" spans="1:9" x14ac:dyDescent="0.25">
      <c r="A23" s="3" t="s">
        <v>62</v>
      </c>
      <c r="B23" s="4" t="s">
        <v>63</v>
      </c>
      <c r="C23" s="4">
        <v>8</v>
      </c>
      <c r="D23" s="5">
        <v>2800</v>
      </c>
      <c r="E23" s="4" t="s">
        <v>64</v>
      </c>
      <c r="F23" s="4"/>
      <c r="G23" s="7">
        <v>396340342</v>
      </c>
      <c r="H23" s="8">
        <v>6735</v>
      </c>
      <c r="I23" s="12"/>
    </row>
    <row r="24" spans="1:9" x14ac:dyDescent="0.25">
      <c r="A24" s="3" t="s">
        <v>65</v>
      </c>
      <c r="B24" s="4" t="s">
        <v>66</v>
      </c>
      <c r="C24" s="4">
        <v>11</v>
      </c>
      <c r="D24" s="5">
        <v>3850</v>
      </c>
      <c r="E24" s="4" t="s">
        <v>67</v>
      </c>
      <c r="F24" s="4"/>
      <c r="G24" s="7">
        <v>236039494</v>
      </c>
      <c r="H24" s="8">
        <v>8679</v>
      </c>
      <c r="I24" s="12"/>
    </row>
    <row r="25" spans="1:9" x14ac:dyDescent="0.25">
      <c r="A25" s="3" t="s">
        <v>68</v>
      </c>
      <c r="B25" s="4" t="s">
        <v>69</v>
      </c>
      <c r="C25" s="4">
        <v>5</v>
      </c>
      <c r="D25" s="5">
        <v>1750</v>
      </c>
      <c r="E25" s="4" t="s">
        <v>70</v>
      </c>
      <c r="F25" s="4"/>
      <c r="G25" s="7">
        <v>406934949</v>
      </c>
      <c r="H25" s="11">
        <v>5967</v>
      </c>
      <c r="I25" s="12" t="s">
        <v>15</v>
      </c>
    </row>
    <row r="26" spans="1:9" x14ac:dyDescent="0.25">
      <c r="A26" s="3" t="s">
        <v>71</v>
      </c>
      <c r="B26" s="4" t="s">
        <v>11</v>
      </c>
      <c r="C26" s="4">
        <v>10</v>
      </c>
      <c r="D26" s="5">
        <v>3500</v>
      </c>
      <c r="E26" s="4" t="s">
        <v>72</v>
      </c>
      <c r="F26" s="4"/>
      <c r="G26" s="7">
        <v>596349693</v>
      </c>
      <c r="H26" s="8">
        <v>2346</v>
      </c>
      <c r="I26" s="12" t="s">
        <v>15</v>
      </c>
    </row>
    <row r="27" spans="1:9" x14ac:dyDescent="0.25">
      <c r="A27" s="3" t="s">
        <v>73</v>
      </c>
      <c r="B27" s="4" t="s">
        <v>63</v>
      </c>
      <c r="C27" s="4">
        <v>10</v>
      </c>
      <c r="D27" s="5">
        <v>3500</v>
      </c>
      <c r="E27" s="4" t="s">
        <v>74</v>
      </c>
      <c r="F27" s="4"/>
      <c r="G27" s="7">
        <v>482392346</v>
      </c>
      <c r="H27" s="8">
        <v>4574</v>
      </c>
      <c r="I27" s="12" t="s">
        <v>15</v>
      </c>
    </row>
    <row r="28" spans="1:9" x14ac:dyDescent="0.25">
      <c r="A28" s="3" t="s">
        <v>75</v>
      </c>
      <c r="B28" s="4" t="s">
        <v>76</v>
      </c>
      <c r="C28" s="4">
        <v>1</v>
      </c>
      <c r="D28" s="5">
        <v>350</v>
      </c>
      <c r="E28" s="4" t="s">
        <v>20</v>
      </c>
      <c r="F28" s="4"/>
      <c r="G28" s="7">
        <v>543234596</v>
      </c>
      <c r="H28" s="9">
        <v>8456</v>
      </c>
      <c r="I28" s="12"/>
    </row>
    <row r="29" spans="1:9" x14ac:dyDescent="0.25">
      <c r="A29" s="3" t="s">
        <v>77</v>
      </c>
      <c r="B29" s="4" t="s">
        <v>78</v>
      </c>
      <c r="C29" s="4">
        <v>11</v>
      </c>
      <c r="D29" s="5">
        <v>3850</v>
      </c>
      <c r="E29" s="4" t="s">
        <v>12</v>
      </c>
      <c r="F29" s="4"/>
      <c r="G29" s="7">
        <v>346594204</v>
      </c>
      <c r="H29" s="8">
        <v>4506</v>
      </c>
      <c r="I29" s="12" t="s">
        <v>15</v>
      </c>
    </row>
    <row r="30" spans="1:9" x14ac:dyDescent="0.25">
      <c r="A30" s="3" t="s">
        <v>79</v>
      </c>
      <c r="B30" s="4" t="s">
        <v>80</v>
      </c>
      <c r="C30" s="4">
        <v>0</v>
      </c>
      <c r="D30" s="5">
        <v>0</v>
      </c>
      <c r="E30" s="4" t="s">
        <v>51</v>
      </c>
      <c r="F30" s="4"/>
      <c r="G30" s="7">
        <v>476304344</v>
      </c>
      <c r="H30" s="8">
        <v>4096</v>
      </c>
      <c r="I30" s="12"/>
    </row>
    <row r="31" spans="1:9" x14ac:dyDescent="0.25">
      <c r="A31" s="3" t="s">
        <v>81</v>
      </c>
      <c r="B31" s="4" t="s">
        <v>82</v>
      </c>
      <c r="C31" s="4">
        <v>11</v>
      </c>
      <c r="D31" s="5">
        <v>3850</v>
      </c>
      <c r="E31" s="4" t="s">
        <v>28</v>
      </c>
      <c r="F31" s="4"/>
      <c r="G31" s="7">
        <v>503969434</v>
      </c>
      <c r="H31" s="8">
        <v>2347</v>
      </c>
      <c r="I31" s="12" t="s">
        <v>15</v>
      </c>
    </row>
    <row r="32" spans="1:9" x14ac:dyDescent="0.25">
      <c r="A32" s="3" t="s">
        <v>83</v>
      </c>
      <c r="B32" s="4" t="s">
        <v>53</v>
      </c>
      <c r="C32" s="4">
        <v>4</v>
      </c>
      <c r="D32" s="5">
        <v>1400</v>
      </c>
      <c r="E32" s="4" t="s">
        <v>45</v>
      </c>
      <c r="F32" s="4"/>
      <c r="G32" s="7">
        <v>492030303</v>
      </c>
      <c r="H32" s="8">
        <v>3456</v>
      </c>
      <c r="I32" s="12" t="s">
        <v>15</v>
      </c>
    </row>
    <row r="33" spans="1:9" x14ac:dyDescent="0.25">
      <c r="A33" s="3" t="s">
        <v>84</v>
      </c>
      <c r="B33" s="4" t="s">
        <v>85</v>
      </c>
      <c r="C33" s="4">
        <v>6</v>
      </c>
      <c r="D33" s="5">
        <v>2100</v>
      </c>
      <c r="E33" s="4" t="s">
        <v>42</v>
      </c>
      <c r="F33" s="4"/>
      <c r="G33" s="7">
        <v>60938233</v>
      </c>
      <c r="H33" s="8">
        <v>4564</v>
      </c>
      <c r="I33" s="12"/>
    </row>
    <row r="34" spans="1:9" x14ac:dyDescent="0.25">
      <c r="A34" s="3" t="s">
        <v>86</v>
      </c>
      <c r="B34" s="4" t="s">
        <v>87</v>
      </c>
      <c r="C34" s="4">
        <v>12</v>
      </c>
      <c r="D34" s="5">
        <v>4200</v>
      </c>
      <c r="E34" s="4" t="s">
        <v>23</v>
      </c>
      <c r="F34" s="4"/>
      <c r="G34" s="7">
        <v>306934484</v>
      </c>
      <c r="H34" s="9">
        <v>5687</v>
      </c>
      <c r="I34" s="12" t="s">
        <v>15</v>
      </c>
    </row>
    <row r="35" spans="1:9" x14ac:dyDescent="0.25">
      <c r="A35" s="3" t="s">
        <v>88</v>
      </c>
      <c r="B35" s="4" t="s">
        <v>89</v>
      </c>
      <c r="C35" s="4">
        <v>9</v>
      </c>
      <c r="D35" s="5">
        <v>3150</v>
      </c>
      <c r="E35" s="4" t="s">
        <v>20</v>
      </c>
      <c r="F35" s="4"/>
      <c r="G35" s="7">
        <v>30683034</v>
      </c>
      <c r="H35" s="9">
        <v>5409</v>
      </c>
      <c r="I35" s="12"/>
    </row>
    <row r="36" spans="1:9" x14ac:dyDescent="0.25">
      <c r="A36" s="3" t="s">
        <v>90</v>
      </c>
      <c r="B36" s="4" t="s">
        <v>41</v>
      </c>
      <c r="C36" s="4">
        <v>10</v>
      </c>
      <c r="D36" s="5">
        <v>3500</v>
      </c>
      <c r="E36" s="4" t="s">
        <v>48</v>
      </c>
      <c r="F36" s="4"/>
      <c r="G36" s="7">
        <v>496838443</v>
      </c>
      <c r="H36" s="8">
        <v>3456</v>
      </c>
      <c r="I36" s="12" t="s">
        <v>15</v>
      </c>
    </row>
    <row r="37" spans="1:9" x14ac:dyDescent="0.25">
      <c r="A37" s="3" t="s">
        <v>91</v>
      </c>
      <c r="B37" s="4" t="s">
        <v>92</v>
      </c>
      <c r="C37" s="4">
        <v>3</v>
      </c>
      <c r="D37" s="5">
        <v>1050</v>
      </c>
      <c r="E37" s="4" t="s">
        <v>51</v>
      </c>
      <c r="F37" s="4"/>
      <c r="G37" s="7">
        <v>209384209</v>
      </c>
      <c r="H37" s="8">
        <v>4592</v>
      </c>
      <c r="I37" s="12"/>
    </row>
    <row r="38" spans="1:9" x14ac:dyDescent="0.25">
      <c r="A38" s="3" t="s">
        <v>93</v>
      </c>
      <c r="B38" s="4" t="s">
        <v>94</v>
      </c>
      <c r="C38" s="4">
        <v>1</v>
      </c>
      <c r="D38" s="5">
        <v>350</v>
      </c>
      <c r="E38" s="4" t="s">
        <v>74</v>
      </c>
      <c r="F38" s="4"/>
      <c r="G38" s="7">
        <v>349850394</v>
      </c>
      <c r="H38" s="8">
        <v>3456</v>
      </c>
      <c r="I38" s="12" t="s">
        <v>15</v>
      </c>
    </row>
    <row r="39" spans="1:9" x14ac:dyDescent="0.25">
      <c r="A39" s="3" t="s">
        <v>95</v>
      </c>
      <c r="B39" s="4" t="s">
        <v>19</v>
      </c>
      <c r="C39" s="4">
        <v>9</v>
      </c>
      <c r="D39" s="5">
        <v>3150</v>
      </c>
      <c r="E39" s="4" t="s">
        <v>96</v>
      </c>
      <c r="F39" s="4"/>
      <c r="G39" s="7">
        <v>349083634</v>
      </c>
      <c r="H39" s="8">
        <v>4534</v>
      </c>
      <c r="I39" s="12" t="s">
        <v>15</v>
      </c>
    </row>
    <row r="40" spans="1:9" x14ac:dyDescent="0.25">
      <c r="A40" s="3" t="s">
        <v>97</v>
      </c>
      <c r="B40" s="4" t="s">
        <v>69</v>
      </c>
      <c r="C40" s="4">
        <v>3</v>
      </c>
      <c r="D40" s="5">
        <v>1050</v>
      </c>
      <c r="E40" s="4" t="s">
        <v>31</v>
      </c>
      <c r="F40" s="4"/>
      <c r="G40" s="7">
        <v>34894883</v>
      </c>
      <c r="H40" s="9">
        <v>7965</v>
      </c>
      <c r="I40" s="12"/>
    </row>
    <row r="41" spans="1:9" x14ac:dyDescent="0.25">
      <c r="A41" s="3" t="s">
        <v>98</v>
      </c>
      <c r="B41" s="4" t="s">
        <v>99</v>
      </c>
      <c r="C41" s="4">
        <v>0</v>
      </c>
      <c r="D41" s="5">
        <v>0</v>
      </c>
      <c r="E41" s="4" t="s">
        <v>100</v>
      </c>
      <c r="F41" s="4" t="s">
        <v>101</v>
      </c>
      <c r="G41" s="7">
        <v>37485973</v>
      </c>
      <c r="H41" s="9">
        <v>5679</v>
      </c>
      <c r="I41" s="12" t="s">
        <v>15</v>
      </c>
    </row>
    <row r="42" spans="1:9" x14ac:dyDescent="0.25">
      <c r="A42" s="3" t="s">
        <v>102</v>
      </c>
      <c r="B42" s="4" t="s">
        <v>103</v>
      </c>
      <c r="C42" s="4">
        <v>10</v>
      </c>
      <c r="D42" s="5">
        <v>3500</v>
      </c>
      <c r="E42" s="4" t="s">
        <v>72</v>
      </c>
      <c r="F42" s="4"/>
      <c r="G42" s="7">
        <v>695069056</v>
      </c>
      <c r="H42" s="8">
        <v>4564</v>
      </c>
      <c r="I42" s="12"/>
    </row>
    <row r="43" spans="1:9" x14ac:dyDescent="0.25">
      <c r="A43" s="3" t="s">
        <v>104</v>
      </c>
      <c r="B43" s="4" t="s">
        <v>76</v>
      </c>
      <c r="C43" s="4">
        <v>8</v>
      </c>
      <c r="D43" s="5">
        <v>2800</v>
      </c>
      <c r="E43" s="4" t="s">
        <v>12</v>
      </c>
      <c r="F43" s="4"/>
      <c r="G43" s="7">
        <v>456878345</v>
      </c>
      <c r="H43" s="8">
        <v>4567</v>
      </c>
      <c r="I43" s="12" t="s">
        <v>15</v>
      </c>
    </row>
    <row r="44" spans="1:9" x14ac:dyDescent="0.25">
      <c r="A44" s="3" t="s">
        <v>105</v>
      </c>
      <c r="B44" s="4" t="s">
        <v>63</v>
      </c>
      <c r="C44" s="4">
        <v>4</v>
      </c>
      <c r="D44" s="5">
        <v>1400</v>
      </c>
      <c r="E44" s="4" t="s">
        <v>12</v>
      </c>
      <c r="F44" s="4"/>
      <c r="G44" s="7">
        <v>345983796</v>
      </c>
      <c r="H44" s="8">
        <v>2437</v>
      </c>
      <c r="I44" s="12"/>
    </row>
    <row r="45" spans="1:9" x14ac:dyDescent="0.25">
      <c r="A45" s="3" t="s">
        <v>105</v>
      </c>
      <c r="B45" s="4" t="s">
        <v>106</v>
      </c>
      <c r="C45" s="4">
        <v>1</v>
      </c>
      <c r="D45" s="5">
        <v>350</v>
      </c>
      <c r="E45" s="4" t="s">
        <v>64</v>
      </c>
      <c r="F45" s="4"/>
      <c r="G45" s="7">
        <v>670953744</v>
      </c>
      <c r="H45" s="8">
        <v>4564</v>
      </c>
      <c r="I45" s="12"/>
    </row>
    <row r="46" spans="1:9" x14ac:dyDescent="0.25">
      <c r="A46" s="3" t="s">
        <v>107</v>
      </c>
      <c r="B46" s="4" t="s">
        <v>108</v>
      </c>
      <c r="C46" s="4">
        <v>4</v>
      </c>
      <c r="D46" s="5">
        <v>1400</v>
      </c>
      <c r="E46" s="4" t="s">
        <v>34</v>
      </c>
      <c r="F46" s="4"/>
      <c r="G46" s="7">
        <v>409847551</v>
      </c>
      <c r="H46" s="8">
        <v>1833</v>
      </c>
      <c r="I46" s="12" t="s">
        <v>15</v>
      </c>
    </row>
    <row r="47" spans="1:9" x14ac:dyDescent="0.25">
      <c r="A47" s="3" t="s">
        <v>109</v>
      </c>
      <c r="B47" s="4" t="s">
        <v>55</v>
      </c>
      <c r="C47" s="4">
        <v>2</v>
      </c>
      <c r="D47" s="5">
        <v>700</v>
      </c>
      <c r="E47" s="4" t="s">
        <v>70</v>
      </c>
      <c r="F47" s="4"/>
      <c r="G47" s="7">
        <v>345789561</v>
      </c>
      <c r="H47" s="11">
        <v>4075</v>
      </c>
      <c r="I47" s="12"/>
    </row>
    <row r="48" spans="1:9" x14ac:dyDescent="0.25">
      <c r="A48" s="3" t="s">
        <v>110</v>
      </c>
      <c r="B48" s="4" t="s">
        <v>69</v>
      </c>
      <c r="C48" s="4">
        <v>10</v>
      </c>
      <c r="D48" s="5">
        <v>3500</v>
      </c>
      <c r="E48" s="4" t="s">
        <v>28</v>
      </c>
      <c r="F48" s="4"/>
      <c r="G48" s="7">
        <v>496394844</v>
      </c>
      <c r="H48" s="8">
        <v>4567</v>
      </c>
      <c r="I48" s="12" t="s">
        <v>15</v>
      </c>
    </row>
    <row r="49" spans="1:9" x14ac:dyDescent="0.25">
      <c r="A49" s="3" t="s">
        <v>111</v>
      </c>
      <c r="B49" s="4" t="s">
        <v>112</v>
      </c>
      <c r="C49" s="4">
        <v>7</v>
      </c>
      <c r="D49" s="5">
        <v>2450</v>
      </c>
      <c r="E49" s="4" t="s">
        <v>45</v>
      </c>
      <c r="F49" s="4"/>
      <c r="G49" s="7">
        <v>456454226</v>
      </c>
      <c r="H49" s="8">
        <v>2845</v>
      </c>
      <c r="I49" s="12"/>
    </row>
    <row r="50" spans="1:9" x14ac:dyDescent="0.25">
      <c r="A50" s="3" t="s">
        <v>113</v>
      </c>
      <c r="B50" s="4" t="s">
        <v>114</v>
      </c>
      <c r="C50" s="4">
        <v>9</v>
      </c>
      <c r="D50" s="5">
        <v>3150</v>
      </c>
      <c r="E50" s="4" t="s">
        <v>20</v>
      </c>
      <c r="F50" s="4"/>
      <c r="G50" s="7">
        <v>503495384</v>
      </c>
      <c r="H50" s="9">
        <v>5098</v>
      </c>
      <c r="I50" s="12" t="s">
        <v>15</v>
      </c>
    </row>
    <row r="51" spans="1:9" x14ac:dyDescent="0.25">
      <c r="A51" s="3" t="s">
        <v>115</v>
      </c>
      <c r="B51" s="4" t="s">
        <v>116</v>
      </c>
      <c r="C51" s="4">
        <v>3</v>
      </c>
      <c r="D51" s="5">
        <v>1050</v>
      </c>
      <c r="E51" s="4" t="s">
        <v>23</v>
      </c>
      <c r="F51" s="4"/>
      <c r="G51" s="7">
        <v>234527445</v>
      </c>
      <c r="H51" s="9">
        <v>3467</v>
      </c>
      <c r="I51" s="12" t="s">
        <v>15</v>
      </c>
    </row>
    <row r="52" spans="1:9" x14ac:dyDescent="0.25">
      <c r="A52" s="3" t="s">
        <v>117</v>
      </c>
      <c r="B52" s="4" t="s">
        <v>50</v>
      </c>
      <c r="C52" s="4">
        <v>6</v>
      </c>
      <c r="D52" s="5">
        <v>2100</v>
      </c>
      <c r="E52" s="4" t="s">
        <v>38</v>
      </c>
      <c r="F52" s="4"/>
      <c r="G52" s="7">
        <v>824545741</v>
      </c>
      <c r="H52" s="11">
        <v>8059</v>
      </c>
      <c r="I52" s="12"/>
    </row>
    <row r="53" spans="1:9" x14ac:dyDescent="0.25">
      <c r="A53" s="3" t="s">
        <v>118</v>
      </c>
      <c r="B53" s="4" t="s">
        <v>119</v>
      </c>
      <c r="C53" s="4">
        <v>0</v>
      </c>
      <c r="D53" s="5">
        <v>0</v>
      </c>
      <c r="E53" s="4" t="s">
        <v>96</v>
      </c>
      <c r="F53" s="4" t="s">
        <v>39</v>
      </c>
      <c r="G53" s="7">
        <v>384845771</v>
      </c>
      <c r="H53" s="9">
        <v>3456</v>
      </c>
      <c r="I53" s="12"/>
    </row>
    <row r="54" spans="1:9" x14ac:dyDescent="0.25">
      <c r="A54" s="3" t="s">
        <v>120</v>
      </c>
      <c r="B54" s="4" t="s">
        <v>121</v>
      </c>
      <c r="C54" s="4">
        <v>9</v>
      </c>
      <c r="D54" s="5">
        <v>3150</v>
      </c>
      <c r="E54" s="4" t="s">
        <v>100</v>
      </c>
      <c r="F54" s="4"/>
      <c r="G54" s="7">
        <v>239820981</v>
      </c>
      <c r="H54" s="9">
        <v>4499</v>
      </c>
      <c r="I54" s="12" t="s">
        <v>15</v>
      </c>
    </row>
    <row r="55" spans="1:9" x14ac:dyDescent="0.25">
      <c r="A55" s="3" t="s">
        <v>122</v>
      </c>
      <c r="B55" s="4" t="s">
        <v>22</v>
      </c>
      <c r="C55" s="4">
        <v>5</v>
      </c>
      <c r="D55" s="5">
        <v>1750</v>
      </c>
      <c r="E55" s="4" t="s">
        <v>74</v>
      </c>
      <c r="F55" s="4"/>
      <c r="G55" s="7">
        <v>589468491</v>
      </c>
      <c r="H55" s="8">
        <v>3456</v>
      </c>
      <c r="I55" s="12"/>
    </row>
    <row r="56" spans="1:9" x14ac:dyDescent="0.25">
      <c r="A56" s="3" t="s">
        <v>123</v>
      </c>
      <c r="B56" s="4" t="s">
        <v>124</v>
      </c>
      <c r="C56" s="4">
        <v>9</v>
      </c>
      <c r="D56" s="5">
        <v>3150</v>
      </c>
      <c r="E56" s="4" t="s">
        <v>38</v>
      </c>
      <c r="F56" s="4"/>
      <c r="G56" s="7">
        <v>580954455</v>
      </c>
      <c r="H56" s="8">
        <v>4956</v>
      </c>
      <c r="I56" s="12" t="s">
        <v>15</v>
      </c>
    </row>
    <row r="57" spans="1:9" x14ac:dyDescent="0.25">
      <c r="A57" s="3" t="s">
        <v>125</v>
      </c>
      <c r="B57" s="4" t="s">
        <v>112</v>
      </c>
      <c r="C57" s="4">
        <v>4</v>
      </c>
      <c r="D57" s="5">
        <v>1400</v>
      </c>
      <c r="E57" s="4" t="s">
        <v>48</v>
      </c>
      <c r="F57" s="4"/>
      <c r="G57" s="7">
        <v>237483236</v>
      </c>
      <c r="H57" s="8">
        <v>8765</v>
      </c>
      <c r="I57" s="12" t="s">
        <v>15</v>
      </c>
    </row>
    <row r="58" spans="1:9" x14ac:dyDescent="0.25">
      <c r="A58" s="3" t="s">
        <v>126</v>
      </c>
      <c r="B58" s="4" t="s">
        <v>99</v>
      </c>
      <c r="C58" s="4">
        <v>7</v>
      </c>
      <c r="D58" s="5">
        <v>2450</v>
      </c>
      <c r="E58" s="4" t="s">
        <v>12</v>
      </c>
      <c r="F58" s="4"/>
      <c r="G58" s="7">
        <v>684598657</v>
      </c>
      <c r="H58" s="8">
        <v>5678</v>
      </c>
      <c r="I58" s="12"/>
    </row>
    <row r="59" spans="1:9" x14ac:dyDescent="0.25">
      <c r="A59" s="3" t="s">
        <v>127</v>
      </c>
      <c r="B59" s="4" t="s">
        <v>128</v>
      </c>
      <c r="C59" s="4">
        <v>0</v>
      </c>
      <c r="D59" s="5">
        <v>0</v>
      </c>
      <c r="E59" s="4" t="s">
        <v>20</v>
      </c>
      <c r="F59" s="4" t="s">
        <v>101</v>
      </c>
      <c r="G59" s="7">
        <v>697435456</v>
      </c>
      <c r="H59" s="9">
        <v>4303</v>
      </c>
      <c r="I59" s="12" t="s">
        <v>15</v>
      </c>
    </row>
    <row r="60" spans="1:9" x14ac:dyDescent="0.25">
      <c r="A60" s="13" t="s">
        <v>129</v>
      </c>
      <c r="B60" s="14" t="s">
        <v>130</v>
      </c>
      <c r="C60" s="14">
        <v>9</v>
      </c>
      <c r="D60" s="15">
        <v>3150</v>
      </c>
      <c r="E60" s="14" t="s">
        <v>12</v>
      </c>
      <c r="F60" s="14"/>
      <c r="G60" s="16">
        <v>450983541</v>
      </c>
      <c r="H60" s="17">
        <v>6578</v>
      </c>
      <c r="I60" s="18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MELISSAP</dc:creator>
  <cp:lastModifiedBy>VICTUS</cp:lastModifiedBy>
  <cp:lastPrinted>2023-03-30T03:16:05Z</cp:lastPrinted>
  <dcterms:created xsi:type="dcterms:W3CDTF">2010-03-24T13:43:35Z</dcterms:created>
  <dcterms:modified xsi:type="dcterms:W3CDTF">2026-09-13T11:36:00Z</dcterms:modified>
</cp:coreProperties>
</file>