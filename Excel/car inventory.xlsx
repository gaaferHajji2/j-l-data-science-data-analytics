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-l-data-science-data-analytics\Excel\"/>
    </mc:Choice>
  </mc:AlternateContent>
  <xr:revisionPtr revIDLastSave="0" documentId="13_ncr:9_{9258AC24-450D-42FD-979D-3BC647337D45}" xr6:coauthVersionLast="47" xr6:coauthVersionMax="47" xr10:uidLastSave="{00000000-0000-0000-0000-000000000000}"/>
  <bookViews>
    <workbookView xWindow="-120" yWindow="-120" windowWidth="20730" windowHeight="11160" xr2:uid="{6F1C8A56-E294-480C-BFA2-897A20BA14D1}"/>
  </bookViews>
  <sheets>
    <sheet name="car inventory" sheetId="1" r:id="rId1"/>
  </sheets>
  <calcPr calcId="0"/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2" i="1"/>
  <c r="D41" i="1"/>
  <c r="E41" i="1" s="1"/>
  <c r="E50" i="1"/>
  <c r="D50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9" i="1"/>
  <c r="E40" i="1"/>
  <c r="E42" i="1"/>
  <c r="E43" i="1"/>
  <c r="E44" i="1"/>
  <c r="E45" i="1"/>
  <c r="E46" i="1"/>
  <c r="E47" i="1"/>
  <c r="E48" i="1"/>
  <c r="E49" i="1"/>
  <c r="E51" i="1"/>
  <c r="E52" i="1"/>
  <c r="E53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E15" i="1" s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E38" i="1" s="1"/>
  <c r="D39" i="1"/>
  <c r="D40" i="1"/>
  <c r="D42" i="1"/>
  <c r="D43" i="1"/>
  <c r="D44" i="1"/>
  <c r="D45" i="1"/>
  <c r="D46" i="1"/>
  <c r="D47" i="1"/>
  <c r="D48" i="1"/>
  <c r="D49" i="1"/>
  <c r="D51" i="1"/>
  <c r="D52" i="1"/>
  <c r="D53" i="1"/>
  <c r="D2" i="1"/>
  <c r="C3" i="1"/>
  <c r="C4" i="1"/>
  <c r="C5" i="1"/>
  <c r="C6" i="1"/>
  <c r="C8" i="1"/>
  <c r="C9" i="1"/>
  <c r="C10" i="1"/>
  <c r="C11" i="1"/>
  <c r="C12" i="1"/>
  <c r="C13" i="1"/>
  <c r="C14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42" i="1"/>
  <c r="C43" i="1"/>
  <c r="C44" i="1"/>
  <c r="C45" i="1"/>
  <c r="C46" i="1"/>
  <c r="C47" i="1"/>
  <c r="C48" i="1"/>
  <c r="C49" i="1"/>
  <c r="C50" i="1"/>
  <c r="C51" i="1"/>
  <c r="C52" i="1"/>
  <c r="C53" i="1"/>
  <c r="C2" i="1"/>
  <c r="B3" i="1"/>
  <c r="B4" i="1"/>
  <c r="B5" i="1"/>
  <c r="B6" i="1"/>
  <c r="B7" i="1"/>
  <c r="C7" i="1" s="1"/>
  <c r="B8" i="1"/>
  <c r="B9" i="1"/>
  <c r="B10" i="1"/>
  <c r="B11" i="1"/>
  <c r="B12" i="1"/>
  <c r="B13" i="1"/>
  <c r="B14" i="1"/>
  <c r="B15" i="1"/>
  <c r="C15" i="1" s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C38" i="1" s="1"/>
  <c r="B39" i="1"/>
  <c r="B40" i="1"/>
  <c r="B41" i="1"/>
  <c r="C41" i="1" s="1"/>
  <c r="B42" i="1"/>
  <c r="B43" i="1"/>
  <c r="B44" i="1"/>
  <c r="B45" i="1"/>
  <c r="B46" i="1"/>
  <c r="B47" i="1"/>
  <c r="B48" i="1"/>
  <c r="B49" i="1"/>
  <c r="B50" i="1"/>
  <c r="B51" i="1"/>
  <c r="B52" i="1"/>
  <c r="B53" i="1"/>
  <c r="B2" i="1"/>
</calcChain>
</file>

<file path=xl/sharedStrings.xml><?xml version="1.0" encoding="utf-8"?>
<sst xmlns="http://schemas.openxmlformats.org/spreadsheetml/2006/main" count="204" uniqueCount="122">
  <si>
    <t>Car ID</t>
  </si>
  <si>
    <t>Make</t>
  </si>
  <si>
    <t>Make (Full Name)</t>
  </si>
  <si>
    <t>Model</t>
  </si>
  <si>
    <t>Model (Full Name)</t>
  </si>
  <si>
    <t>Manufacture Year</t>
  </si>
  <si>
    <t>Age</t>
  </si>
  <si>
    <t>Miles</t>
  </si>
  <si>
    <t>Miles / Year</t>
  </si>
  <si>
    <t>Color</t>
  </si>
  <si>
    <t>Driver</t>
  </si>
  <si>
    <t>Warantee Miles</t>
  </si>
  <si>
    <t>Covered?</t>
  </si>
  <si>
    <t>New Car ID</t>
  </si>
  <si>
    <t>FD06MTG001</t>
  </si>
  <si>
    <t>Black</t>
  </si>
  <si>
    <t>Smith</t>
  </si>
  <si>
    <t>FD06MTG002</t>
  </si>
  <si>
    <t>White</t>
  </si>
  <si>
    <t>McCall</t>
  </si>
  <si>
    <t>FD08MTG003</t>
  </si>
  <si>
    <t>Green</t>
  </si>
  <si>
    <t>Lyon</t>
  </si>
  <si>
    <t>FD08MTG004</t>
  </si>
  <si>
    <t>Jones</t>
  </si>
  <si>
    <t>FD08MTG005</t>
  </si>
  <si>
    <t>Ewenty</t>
  </si>
  <si>
    <t>FD06FCS007</t>
  </si>
  <si>
    <t>FD09FCS008</t>
  </si>
  <si>
    <t>Howard</t>
  </si>
  <si>
    <t>FD13FCS009</t>
  </si>
  <si>
    <t>FD13FCS010</t>
  </si>
  <si>
    <t>Praulty</t>
  </si>
  <si>
    <t>FD12FCS011</t>
  </si>
  <si>
    <t>Yousef</t>
  </si>
  <si>
    <t>FD13FCS012</t>
  </si>
  <si>
    <t>Vizzini</t>
  </si>
  <si>
    <t>FD13FCS013</t>
  </si>
  <si>
    <t>Rodriguez</t>
  </si>
  <si>
    <t>Santos</t>
  </si>
  <si>
    <t>GM12CMR015</t>
  </si>
  <si>
    <t>Bard</t>
  </si>
  <si>
    <t>GM14CMR016</t>
  </si>
  <si>
    <t>Torrens</t>
  </si>
  <si>
    <t>GM10SLV017</t>
  </si>
  <si>
    <t>Hulinski</t>
  </si>
  <si>
    <t>GM98SLV018</t>
  </si>
  <si>
    <t>GM00SLV019</t>
  </si>
  <si>
    <t>Blue</t>
  </si>
  <si>
    <t>TY96CAM020</t>
  </si>
  <si>
    <t>Chan</t>
  </si>
  <si>
    <t>TY98CAM021</t>
  </si>
  <si>
    <t>Swartz</t>
  </si>
  <si>
    <t>TY00CAM022</t>
  </si>
  <si>
    <t>TY02CAM023</t>
  </si>
  <si>
    <t>TY09CAM024</t>
  </si>
  <si>
    <t>TY02COR025</t>
  </si>
  <si>
    <t>Red</t>
  </si>
  <si>
    <t>Gaul</t>
  </si>
  <si>
    <t>TY03COR026</t>
  </si>
  <si>
    <t>TY14COR027</t>
  </si>
  <si>
    <t>TY12COR028</t>
  </si>
  <si>
    <t>TY12CAM029</t>
  </si>
  <si>
    <t>HO99CIV030</t>
  </si>
  <si>
    <t>HO01CIV031</t>
  </si>
  <si>
    <t>HO10CIV032</t>
  </si>
  <si>
    <t>HO10CIV033</t>
  </si>
  <si>
    <t>HO11CIV034</t>
  </si>
  <si>
    <t>HO12CIV035</t>
  </si>
  <si>
    <t>HO13CIV036</t>
  </si>
  <si>
    <t>HO07ODY038</t>
  </si>
  <si>
    <t>HO08ODY039</t>
  </si>
  <si>
    <t>HO14ODY041</t>
  </si>
  <si>
    <t>CR04PTC042</t>
  </si>
  <si>
    <t>CR07PTC043</t>
  </si>
  <si>
    <t>CR11PTC044</t>
  </si>
  <si>
    <t>CR99CAR045</t>
  </si>
  <si>
    <t>CR00CAR046</t>
  </si>
  <si>
    <t>CR04CAR047</t>
  </si>
  <si>
    <t>CR04CAR048</t>
  </si>
  <si>
    <t>HY11ELA049</t>
  </si>
  <si>
    <t>HY12ELA050</t>
  </si>
  <si>
    <t>HY13ELA051</t>
  </si>
  <si>
    <t>HY13ELA052</t>
  </si>
  <si>
    <t>CR</t>
  </si>
  <si>
    <t>HY</t>
  </si>
  <si>
    <t>TY</t>
  </si>
  <si>
    <t>HO</t>
  </si>
  <si>
    <t>GM</t>
  </si>
  <si>
    <t>FD</t>
  </si>
  <si>
    <t>Chrysler</t>
  </si>
  <si>
    <t>Hyndai</t>
  </si>
  <si>
    <t>Toyota</t>
  </si>
  <si>
    <t>Honda</t>
  </si>
  <si>
    <t>General Motors</t>
  </si>
  <si>
    <t>Ford</t>
  </si>
  <si>
    <t>CAM</t>
  </si>
  <si>
    <t>Camery</t>
  </si>
  <si>
    <t>ELA</t>
  </si>
  <si>
    <t>Elantra</t>
  </si>
  <si>
    <t>FCS</t>
  </si>
  <si>
    <t>Focus</t>
  </si>
  <si>
    <t>CMR</t>
  </si>
  <si>
    <t>Camero</t>
  </si>
  <si>
    <t>COR</t>
  </si>
  <si>
    <t>Corola</t>
  </si>
  <si>
    <t>CAR</t>
  </si>
  <si>
    <t>Caravan</t>
  </si>
  <si>
    <t>CIV</t>
  </si>
  <si>
    <t>Civic</t>
  </si>
  <si>
    <t>MTG</t>
  </si>
  <si>
    <t>Mustag</t>
  </si>
  <si>
    <t>ODY</t>
  </si>
  <si>
    <t>Odyssey</t>
  </si>
  <si>
    <t>PTC</t>
  </si>
  <si>
    <t>PT Cruiser</t>
  </si>
  <si>
    <t>SLV</t>
  </si>
  <si>
    <t>Silverado</t>
  </si>
  <si>
    <t>HO01ODY040</t>
  </si>
  <si>
    <t>FD06FCS006</t>
  </si>
  <si>
    <t>GM09CMR014</t>
  </si>
  <si>
    <t>HO05ODY037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</si>
</sst>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2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/>
    </xf>
    <xf numFmtId="0" fontId="0" fillId="0" borderId="10" xfId="0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E64A-6E35-46AF-B538-7FFA7D2A357E}">
  <dimension ref="A1:N67"/>
  <sheetViews>
    <sheetView tabSelected="1" zoomScaleNormal="100" workbookViewId="0">
      <selection activeCell="N2" sqref="N2:N53"/>
    </sheetView>
  </sheetViews>
  <sheetFormatPr defaultRowHeight="15" x14ac:dyDescent="0.25"/>
  <cols>
    <col min="1" max="1" width="13.5703125" style="6" bestFit="1" customWidth="1"/>
    <col min="2" max="2" width="9.140625" style="7"/>
    <col min="3" max="3" width="11.7109375" customWidth="1"/>
    <col min="5" max="5" width="12.85546875" style="4" customWidth="1"/>
    <col min="6" max="6" width="13" customWidth="1"/>
    <col min="8" max="8" width="11.5703125" bestFit="1" customWidth="1"/>
    <col min="9" max="9" width="10.5703125" customWidth="1"/>
    <col min="10" max="10" width="6.42578125" bestFit="1" customWidth="1"/>
    <col min="12" max="12" width="9.7109375" customWidth="1"/>
    <col min="13" max="13" width="12.140625" bestFit="1" customWidth="1"/>
    <col min="14" max="14" width="16.85546875" bestFit="1" customWidth="1"/>
  </cols>
  <sheetData>
    <row r="1" spans="1:14" s="2" customFormat="1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6" t="s">
        <v>14</v>
      </c>
      <c r="B2" s="7" t="str">
        <f>LEFT(A2, 2)</f>
        <v>FD</v>
      </c>
      <c r="C2" s="5" t="str">
        <f>VLOOKUP(B2, $B$57:$C$62, 2)</f>
        <v>Ford</v>
      </c>
      <c r="D2" s="7" t="str">
        <f>MID(A2, 5, 3)</f>
        <v>MTG</v>
      </c>
      <c r="E2" s="4" t="str">
        <f>VLOOKUP(D2, D$57:E$67, 2)</f>
        <v>Mustag</v>
      </c>
      <c r="F2" s="4" t="str">
        <f>MID(A2, 3, 2)</f>
        <v>06</v>
      </c>
      <c r="G2" s="4">
        <f>IF(26-F2&lt;0, 100-F2+26, 26-F2)</f>
        <v>20</v>
      </c>
      <c r="H2" s="8">
        <v>40326.800000000003</v>
      </c>
      <c r="I2" s="8">
        <f>H2/G2</f>
        <v>2016.3400000000001</v>
      </c>
      <c r="J2" t="s">
        <v>15</v>
      </c>
      <c r="K2" t="s">
        <v>16</v>
      </c>
      <c r="L2">
        <v>50000</v>
      </c>
      <c r="M2" s="9" t="str">
        <f>IF(H2&lt;=L2, "Y", "Not Covered")</f>
        <v>Y</v>
      </c>
      <c r="N2" s="4" t="str">
        <f>CONCATENATE(B2,F2,D2,UPPER(LEFT(J2,3)),RIGHT(A2,3))</f>
        <v>FD06MTGBLA001</v>
      </c>
    </row>
    <row r="3" spans="1:14" x14ac:dyDescent="0.25">
      <c r="A3" s="6" t="s">
        <v>17</v>
      </c>
      <c r="B3" s="7" t="str">
        <f t="shared" ref="B3:B53" si="0">LEFT(A3, 2)</f>
        <v>FD</v>
      </c>
      <c r="C3" s="5" t="str">
        <f t="shared" ref="C3:C53" si="1">VLOOKUP(B3, $B$57:$C$62, 2)</f>
        <v>Ford</v>
      </c>
      <c r="D3" s="7" t="str">
        <f t="shared" ref="D3:D53" si="2">MID(A3, 5, 3)</f>
        <v>MTG</v>
      </c>
      <c r="E3" s="4" t="str">
        <f t="shared" ref="E3:E53" si="3">VLOOKUP(D3, D$57:E$67, 2)</f>
        <v>Mustag</v>
      </c>
      <c r="F3" s="4" t="str">
        <f t="shared" ref="F3:F53" si="4">MID(A3, 3, 2)</f>
        <v>06</v>
      </c>
      <c r="G3" s="4">
        <f t="shared" ref="G3:G53" si="5">IF(26-F3&lt;0, 100-F3+26, 26-F3)</f>
        <v>20</v>
      </c>
      <c r="H3" s="8">
        <v>44974.8</v>
      </c>
      <c r="I3" s="8">
        <f t="shared" ref="I3:I53" si="6">H3/G3</f>
        <v>2248.7400000000002</v>
      </c>
      <c r="J3" t="s">
        <v>18</v>
      </c>
      <c r="K3" t="s">
        <v>19</v>
      </c>
      <c r="L3">
        <v>50000</v>
      </c>
      <c r="M3" s="9" t="str">
        <f t="shared" ref="M3:M53" si="7">IF(H3&lt;=L3, "Y", "Not Covered")</f>
        <v>Y</v>
      </c>
      <c r="N3" s="4" t="str">
        <f t="shared" ref="N3:N53" si="8">CONCATENATE(B3,F3,D3,UPPER(LEFT(J3,3)),RIGHT(A3,3))</f>
        <v>FD06MTGWHI002</v>
      </c>
    </row>
    <row r="4" spans="1:14" x14ac:dyDescent="0.25">
      <c r="A4" s="6" t="s">
        <v>20</v>
      </c>
      <c r="B4" s="7" t="str">
        <f t="shared" si="0"/>
        <v>FD</v>
      </c>
      <c r="C4" s="5" t="str">
        <f t="shared" si="1"/>
        <v>Ford</v>
      </c>
      <c r="D4" s="7" t="str">
        <f t="shared" si="2"/>
        <v>MTG</v>
      </c>
      <c r="E4" s="4" t="str">
        <f t="shared" si="3"/>
        <v>Mustag</v>
      </c>
      <c r="F4" s="4" t="str">
        <f t="shared" si="4"/>
        <v>08</v>
      </c>
      <c r="G4" s="4">
        <f t="shared" si="5"/>
        <v>18</v>
      </c>
      <c r="H4" s="8">
        <v>44946.5</v>
      </c>
      <c r="I4" s="8">
        <f t="shared" si="6"/>
        <v>2497.0277777777778</v>
      </c>
      <c r="J4" t="s">
        <v>21</v>
      </c>
      <c r="K4" t="s">
        <v>22</v>
      </c>
      <c r="L4">
        <v>50000</v>
      </c>
      <c r="M4" s="9" t="str">
        <f t="shared" si="7"/>
        <v>Y</v>
      </c>
      <c r="N4" s="4" t="str">
        <f t="shared" si="8"/>
        <v>FD08MTGGRE003</v>
      </c>
    </row>
    <row r="5" spans="1:14" x14ac:dyDescent="0.25">
      <c r="A5" s="6" t="s">
        <v>23</v>
      </c>
      <c r="B5" s="7" t="str">
        <f t="shared" si="0"/>
        <v>FD</v>
      </c>
      <c r="C5" s="5" t="str">
        <f t="shared" si="1"/>
        <v>Ford</v>
      </c>
      <c r="D5" s="7" t="str">
        <f t="shared" si="2"/>
        <v>MTG</v>
      </c>
      <c r="E5" s="4" t="str">
        <f t="shared" si="3"/>
        <v>Mustag</v>
      </c>
      <c r="F5" s="4" t="str">
        <f t="shared" si="4"/>
        <v>08</v>
      </c>
      <c r="G5" s="4">
        <f t="shared" si="5"/>
        <v>18</v>
      </c>
      <c r="H5" s="8">
        <v>37558.800000000003</v>
      </c>
      <c r="I5" s="8">
        <f t="shared" si="6"/>
        <v>2086.6000000000004</v>
      </c>
      <c r="J5" t="s">
        <v>15</v>
      </c>
      <c r="K5" t="s">
        <v>24</v>
      </c>
      <c r="L5">
        <v>50000</v>
      </c>
      <c r="M5" s="9" t="str">
        <f t="shared" si="7"/>
        <v>Y</v>
      </c>
      <c r="N5" s="4" t="str">
        <f t="shared" si="8"/>
        <v>FD08MTGBLA004</v>
      </c>
    </row>
    <row r="6" spans="1:14" x14ac:dyDescent="0.25">
      <c r="A6" s="6" t="s">
        <v>25</v>
      </c>
      <c r="B6" s="7" t="str">
        <f t="shared" si="0"/>
        <v>FD</v>
      </c>
      <c r="C6" s="5" t="str">
        <f t="shared" si="1"/>
        <v>Ford</v>
      </c>
      <c r="D6" s="7" t="str">
        <f t="shared" si="2"/>
        <v>MTG</v>
      </c>
      <c r="E6" s="4" t="str">
        <f t="shared" si="3"/>
        <v>Mustag</v>
      </c>
      <c r="F6" s="4" t="str">
        <f t="shared" si="4"/>
        <v>08</v>
      </c>
      <c r="G6" s="4">
        <f t="shared" si="5"/>
        <v>18</v>
      </c>
      <c r="H6" s="8">
        <v>36438.5</v>
      </c>
      <c r="I6" s="8">
        <f t="shared" si="6"/>
        <v>2024.3611111111111</v>
      </c>
      <c r="J6" t="s">
        <v>18</v>
      </c>
      <c r="K6" t="s">
        <v>16</v>
      </c>
      <c r="L6">
        <v>50000</v>
      </c>
      <c r="M6" s="9" t="str">
        <f t="shared" si="7"/>
        <v>Y</v>
      </c>
      <c r="N6" s="4" t="str">
        <f t="shared" si="8"/>
        <v>FD08MTGWHI005</v>
      </c>
    </row>
    <row r="7" spans="1:14" x14ac:dyDescent="0.25">
      <c r="A7" s="6" t="s">
        <v>119</v>
      </c>
      <c r="B7" s="7" t="str">
        <f t="shared" si="0"/>
        <v>FD</v>
      </c>
      <c r="C7" s="5" t="str">
        <f t="shared" si="1"/>
        <v>Ford</v>
      </c>
      <c r="D7" s="7" t="str">
        <f t="shared" si="2"/>
        <v>FCS</v>
      </c>
      <c r="E7" s="4" t="str">
        <f t="shared" si="3"/>
        <v>Focus</v>
      </c>
      <c r="F7" s="4" t="str">
        <f t="shared" si="4"/>
        <v>06</v>
      </c>
      <c r="G7" s="4">
        <f t="shared" si="5"/>
        <v>20</v>
      </c>
      <c r="H7" s="8">
        <v>46311.4</v>
      </c>
      <c r="I7" s="8">
        <f t="shared" si="6"/>
        <v>2315.5700000000002</v>
      </c>
      <c r="J7" t="s">
        <v>21</v>
      </c>
      <c r="K7" t="s">
        <v>26</v>
      </c>
      <c r="L7">
        <v>75000</v>
      </c>
      <c r="M7" s="9" t="str">
        <f t="shared" si="7"/>
        <v>Y</v>
      </c>
      <c r="N7" s="4" t="str">
        <f t="shared" si="8"/>
        <v>FD06FCSGRE006</v>
      </c>
    </row>
    <row r="8" spans="1:14" x14ac:dyDescent="0.25">
      <c r="A8" s="6" t="s">
        <v>27</v>
      </c>
      <c r="B8" s="7" t="str">
        <f t="shared" si="0"/>
        <v>FD</v>
      </c>
      <c r="C8" s="5" t="str">
        <f t="shared" si="1"/>
        <v>Ford</v>
      </c>
      <c r="D8" s="7" t="str">
        <f t="shared" si="2"/>
        <v>FCS</v>
      </c>
      <c r="E8" s="4" t="str">
        <f t="shared" si="3"/>
        <v>Focus</v>
      </c>
      <c r="F8" s="4" t="str">
        <f t="shared" si="4"/>
        <v>06</v>
      </c>
      <c r="G8" s="4">
        <f t="shared" si="5"/>
        <v>20</v>
      </c>
      <c r="H8" s="8">
        <v>52229.5</v>
      </c>
      <c r="I8" s="8">
        <f t="shared" si="6"/>
        <v>2611.4749999999999</v>
      </c>
      <c r="J8" t="s">
        <v>21</v>
      </c>
      <c r="K8" t="s">
        <v>22</v>
      </c>
      <c r="L8">
        <v>75000</v>
      </c>
      <c r="M8" s="9" t="str">
        <f t="shared" si="7"/>
        <v>Y</v>
      </c>
      <c r="N8" s="4" t="str">
        <f t="shared" si="8"/>
        <v>FD06FCSGRE007</v>
      </c>
    </row>
    <row r="9" spans="1:14" x14ac:dyDescent="0.25">
      <c r="A9" s="6" t="s">
        <v>28</v>
      </c>
      <c r="B9" s="7" t="str">
        <f t="shared" si="0"/>
        <v>FD</v>
      </c>
      <c r="C9" s="5" t="str">
        <f t="shared" si="1"/>
        <v>Ford</v>
      </c>
      <c r="D9" s="7" t="str">
        <f t="shared" si="2"/>
        <v>FCS</v>
      </c>
      <c r="E9" s="4" t="str">
        <f t="shared" si="3"/>
        <v>Focus</v>
      </c>
      <c r="F9" s="4" t="str">
        <f t="shared" si="4"/>
        <v>09</v>
      </c>
      <c r="G9" s="4">
        <f t="shared" si="5"/>
        <v>17</v>
      </c>
      <c r="H9" s="8">
        <v>35137</v>
      </c>
      <c r="I9" s="8">
        <f t="shared" si="6"/>
        <v>2066.8823529411766</v>
      </c>
      <c r="J9" t="s">
        <v>15</v>
      </c>
      <c r="K9" t="s">
        <v>29</v>
      </c>
      <c r="L9">
        <v>75000</v>
      </c>
      <c r="M9" s="9" t="str">
        <f t="shared" si="7"/>
        <v>Y</v>
      </c>
      <c r="N9" s="4" t="str">
        <f t="shared" si="8"/>
        <v>FD09FCSBLA008</v>
      </c>
    </row>
    <row r="10" spans="1:14" x14ac:dyDescent="0.25">
      <c r="A10" s="6" t="s">
        <v>30</v>
      </c>
      <c r="B10" s="7" t="str">
        <f t="shared" si="0"/>
        <v>FD</v>
      </c>
      <c r="C10" s="5" t="str">
        <f t="shared" si="1"/>
        <v>Ford</v>
      </c>
      <c r="D10" s="7" t="str">
        <f t="shared" si="2"/>
        <v>FCS</v>
      </c>
      <c r="E10" s="4" t="str">
        <f t="shared" si="3"/>
        <v>Focus</v>
      </c>
      <c r="F10" s="4" t="str">
        <f t="shared" si="4"/>
        <v>13</v>
      </c>
      <c r="G10" s="4">
        <f t="shared" si="5"/>
        <v>13</v>
      </c>
      <c r="H10" s="8">
        <v>27637.1</v>
      </c>
      <c r="I10" s="8">
        <f t="shared" si="6"/>
        <v>2125.9307692307693</v>
      </c>
      <c r="J10" t="s">
        <v>15</v>
      </c>
      <c r="K10" t="s">
        <v>16</v>
      </c>
      <c r="L10">
        <v>75000</v>
      </c>
      <c r="M10" s="9" t="str">
        <f t="shared" si="7"/>
        <v>Y</v>
      </c>
      <c r="N10" s="4" t="str">
        <f t="shared" si="8"/>
        <v>FD13FCSBLA009</v>
      </c>
    </row>
    <row r="11" spans="1:14" x14ac:dyDescent="0.25">
      <c r="A11" s="6" t="s">
        <v>31</v>
      </c>
      <c r="B11" s="7" t="str">
        <f t="shared" si="0"/>
        <v>FD</v>
      </c>
      <c r="C11" s="5" t="str">
        <f t="shared" si="1"/>
        <v>Ford</v>
      </c>
      <c r="D11" s="7" t="str">
        <f t="shared" si="2"/>
        <v>FCS</v>
      </c>
      <c r="E11" s="4" t="str">
        <f t="shared" si="3"/>
        <v>Focus</v>
      </c>
      <c r="F11" s="4" t="str">
        <f t="shared" si="4"/>
        <v>13</v>
      </c>
      <c r="G11" s="4">
        <f t="shared" si="5"/>
        <v>13</v>
      </c>
      <c r="H11" s="8">
        <v>27534.799999999999</v>
      </c>
      <c r="I11" s="8">
        <f t="shared" si="6"/>
        <v>2118.0615384615385</v>
      </c>
      <c r="J11" t="s">
        <v>18</v>
      </c>
      <c r="K11" t="s">
        <v>32</v>
      </c>
      <c r="L11">
        <v>75000</v>
      </c>
      <c r="M11" s="9" t="str">
        <f t="shared" si="7"/>
        <v>Y</v>
      </c>
      <c r="N11" s="4" t="str">
        <f t="shared" si="8"/>
        <v>FD13FCSWHI010</v>
      </c>
    </row>
    <row r="12" spans="1:14" x14ac:dyDescent="0.25">
      <c r="A12" s="6" t="s">
        <v>33</v>
      </c>
      <c r="B12" s="7" t="str">
        <f t="shared" si="0"/>
        <v>FD</v>
      </c>
      <c r="C12" s="5" t="str">
        <f t="shared" si="1"/>
        <v>Ford</v>
      </c>
      <c r="D12" s="7" t="str">
        <f t="shared" si="2"/>
        <v>FCS</v>
      </c>
      <c r="E12" s="4" t="str">
        <f t="shared" si="3"/>
        <v>Focus</v>
      </c>
      <c r="F12" s="4" t="str">
        <f t="shared" si="4"/>
        <v>12</v>
      </c>
      <c r="G12" s="4">
        <f t="shared" si="5"/>
        <v>14</v>
      </c>
      <c r="H12" s="8">
        <v>19341.7</v>
      </c>
      <c r="I12" s="8">
        <f t="shared" si="6"/>
        <v>1381.55</v>
      </c>
      <c r="J12" t="s">
        <v>18</v>
      </c>
      <c r="K12" t="s">
        <v>34</v>
      </c>
      <c r="L12">
        <v>75000</v>
      </c>
      <c r="M12" s="9" t="str">
        <f t="shared" si="7"/>
        <v>Y</v>
      </c>
      <c r="N12" s="4" t="str">
        <f t="shared" si="8"/>
        <v>FD12FCSWHI011</v>
      </c>
    </row>
    <row r="13" spans="1:14" x14ac:dyDescent="0.25">
      <c r="A13" s="6" t="s">
        <v>35</v>
      </c>
      <c r="B13" s="7" t="str">
        <f t="shared" si="0"/>
        <v>FD</v>
      </c>
      <c r="C13" s="5" t="str">
        <f t="shared" si="1"/>
        <v>Ford</v>
      </c>
      <c r="D13" s="7" t="str">
        <f t="shared" si="2"/>
        <v>FCS</v>
      </c>
      <c r="E13" s="4" t="str">
        <f t="shared" si="3"/>
        <v>Focus</v>
      </c>
      <c r="F13" s="4" t="str">
        <f t="shared" si="4"/>
        <v>13</v>
      </c>
      <c r="G13" s="4">
        <f t="shared" si="5"/>
        <v>13</v>
      </c>
      <c r="H13" s="8">
        <v>22521.599999999999</v>
      </c>
      <c r="I13" s="8">
        <f t="shared" si="6"/>
        <v>1732.4307692307691</v>
      </c>
      <c r="J13" t="s">
        <v>15</v>
      </c>
      <c r="K13" t="s">
        <v>36</v>
      </c>
      <c r="L13">
        <v>75000</v>
      </c>
      <c r="M13" s="9" t="str">
        <f t="shared" si="7"/>
        <v>Y</v>
      </c>
      <c r="N13" s="4" t="str">
        <f t="shared" si="8"/>
        <v>FD13FCSBLA012</v>
      </c>
    </row>
    <row r="14" spans="1:14" x14ac:dyDescent="0.25">
      <c r="A14" s="6" t="s">
        <v>37</v>
      </c>
      <c r="B14" s="7" t="str">
        <f t="shared" si="0"/>
        <v>FD</v>
      </c>
      <c r="C14" s="5" t="str">
        <f t="shared" si="1"/>
        <v>Ford</v>
      </c>
      <c r="D14" s="7" t="str">
        <f t="shared" si="2"/>
        <v>FCS</v>
      </c>
      <c r="E14" s="4" t="str">
        <f t="shared" si="3"/>
        <v>Focus</v>
      </c>
      <c r="F14" s="4" t="str">
        <f t="shared" si="4"/>
        <v>13</v>
      </c>
      <c r="G14" s="4">
        <f t="shared" si="5"/>
        <v>13</v>
      </c>
      <c r="H14" s="8">
        <v>13682.9</v>
      </c>
      <c r="I14" s="8">
        <f t="shared" si="6"/>
        <v>1052.5307692307692</v>
      </c>
      <c r="J14" t="s">
        <v>15</v>
      </c>
      <c r="K14" t="s">
        <v>38</v>
      </c>
      <c r="L14">
        <v>75000</v>
      </c>
      <c r="M14" s="9" t="str">
        <f t="shared" si="7"/>
        <v>Y</v>
      </c>
      <c r="N14" s="4" t="str">
        <f t="shared" si="8"/>
        <v>FD13FCSBLA013</v>
      </c>
    </row>
    <row r="15" spans="1:14" ht="30" x14ac:dyDescent="0.25">
      <c r="A15" s="6" t="s">
        <v>120</v>
      </c>
      <c r="B15" s="7" t="str">
        <f t="shared" si="0"/>
        <v>GM</v>
      </c>
      <c r="C15" s="5" t="str">
        <f t="shared" si="1"/>
        <v>General Motors</v>
      </c>
      <c r="D15" s="7" t="str">
        <f t="shared" si="2"/>
        <v>CMR</v>
      </c>
      <c r="E15" s="4" t="str">
        <f t="shared" si="3"/>
        <v>Camero</v>
      </c>
      <c r="F15" s="4" t="str">
        <f t="shared" si="4"/>
        <v>09</v>
      </c>
      <c r="G15" s="4">
        <f t="shared" si="5"/>
        <v>17</v>
      </c>
      <c r="H15" s="8">
        <v>28464.799999999999</v>
      </c>
      <c r="I15" s="8">
        <f t="shared" si="6"/>
        <v>1674.3999999999999</v>
      </c>
      <c r="J15" t="s">
        <v>18</v>
      </c>
      <c r="K15" t="s">
        <v>39</v>
      </c>
      <c r="L15">
        <v>100000</v>
      </c>
      <c r="M15" s="9" t="str">
        <f t="shared" si="7"/>
        <v>Y</v>
      </c>
      <c r="N15" s="4" t="str">
        <f t="shared" si="8"/>
        <v>GM09CMRWHI014</v>
      </c>
    </row>
    <row r="16" spans="1:14" ht="30" x14ac:dyDescent="0.25">
      <c r="A16" s="6" t="s">
        <v>40</v>
      </c>
      <c r="B16" s="7" t="str">
        <f t="shared" si="0"/>
        <v>GM</v>
      </c>
      <c r="C16" s="5" t="str">
        <f t="shared" si="1"/>
        <v>General Motors</v>
      </c>
      <c r="D16" s="7" t="str">
        <f t="shared" si="2"/>
        <v>CMR</v>
      </c>
      <c r="E16" s="4" t="str">
        <f t="shared" si="3"/>
        <v>Camero</v>
      </c>
      <c r="F16" s="4" t="str">
        <f t="shared" si="4"/>
        <v>12</v>
      </c>
      <c r="G16" s="4">
        <f t="shared" si="5"/>
        <v>14</v>
      </c>
      <c r="H16" s="8">
        <v>19421.099999999999</v>
      </c>
      <c r="I16" s="8">
        <f t="shared" si="6"/>
        <v>1387.2214285714285</v>
      </c>
      <c r="J16" t="s">
        <v>15</v>
      </c>
      <c r="K16" t="s">
        <v>41</v>
      </c>
      <c r="L16">
        <v>100000</v>
      </c>
      <c r="M16" s="9" t="str">
        <f t="shared" si="7"/>
        <v>Y</v>
      </c>
      <c r="N16" s="4" t="str">
        <f t="shared" si="8"/>
        <v>GM12CMRBLA015</v>
      </c>
    </row>
    <row r="17" spans="1:14" ht="30" x14ac:dyDescent="0.25">
      <c r="A17" s="6" t="s">
        <v>42</v>
      </c>
      <c r="B17" s="7" t="str">
        <f t="shared" si="0"/>
        <v>GM</v>
      </c>
      <c r="C17" s="5" t="str">
        <f t="shared" si="1"/>
        <v>General Motors</v>
      </c>
      <c r="D17" s="7" t="str">
        <f t="shared" si="2"/>
        <v>CMR</v>
      </c>
      <c r="E17" s="4" t="str">
        <f t="shared" si="3"/>
        <v>Camero</v>
      </c>
      <c r="F17" s="4" t="str">
        <f t="shared" si="4"/>
        <v>14</v>
      </c>
      <c r="G17" s="4">
        <f t="shared" si="5"/>
        <v>12</v>
      </c>
      <c r="H17" s="8">
        <v>14289.6</v>
      </c>
      <c r="I17" s="8">
        <f t="shared" si="6"/>
        <v>1190.8</v>
      </c>
      <c r="J17" t="s">
        <v>18</v>
      </c>
      <c r="K17" t="s">
        <v>43</v>
      </c>
      <c r="L17">
        <v>100000</v>
      </c>
      <c r="M17" s="9" t="str">
        <f t="shared" si="7"/>
        <v>Y</v>
      </c>
      <c r="N17" s="4" t="str">
        <f t="shared" si="8"/>
        <v>GM14CMRWHI016</v>
      </c>
    </row>
    <row r="18" spans="1:14" ht="30" x14ac:dyDescent="0.25">
      <c r="A18" s="6" t="s">
        <v>44</v>
      </c>
      <c r="B18" s="7" t="str">
        <f t="shared" si="0"/>
        <v>GM</v>
      </c>
      <c r="C18" s="5" t="str">
        <f t="shared" si="1"/>
        <v>General Motors</v>
      </c>
      <c r="D18" s="7" t="str">
        <f t="shared" si="2"/>
        <v>SLV</v>
      </c>
      <c r="E18" s="4" t="str">
        <f t="shared" si="3"/>
        <v>Silverado</v>
      </c>
      <c r="F18" s="4" t="str">
        <f t="shared" si="4"/>
        <v>10</v>
      </c>
      <c r="G18" s="4">
        <f t="shared" si="5"/>
        <v>16</v>
      </c>
      <c r="H18" s="8">
        <v>31144.400000000001</v>
      </c>
      <c r="I18" s="8">
        <f t="shared" si="6"/>
        <v>1946.5250000000001</v>
      </c>
      <c r="J18" t="s">
        <v>15</v>
      </c>
      <c r="K18" t="s">
        <v>45</v>
      </c>
      <c r="L18">
        <v>100000</v>
      </c>
      <c r="M18" s="9" t="str">
        <f t="shared" si="7"/>
        <v>Y</v>
      </c>
      <c r="N18" s="4" t="str">
        <f t="shared" si="8"/>
        <v>GM10SLVBLA017</v>
      </c>
    </row>
    <row r="19" spans="1:14" ht="30" x14ac:dyDescent="0.25">
      <c r="A19" s="6" t="s">
        <v>46</v>
      </c>
      <c r="B19" s="7" t="str">
        <f t="shared" si="0"/>
        <v>GM</v>
      </c>
      <c r="C19" s="5" t="str">
        <f t="shared" si="1"/>
        <v>General Motors</v>
      </c>
      <c r="D19" s="7" t="str">
        <f t="shared" si="2"/>
        <v>SLV</v>
      </c>
      <c r="E19" s="4" t="str">
        <f t="shared" si="3"/>
        <v>Silverado</v>
      </c>
      <c r="F19" s="4" t="str">
        <f t="shared" si="4"/>
        <v>98</v>
      </c>
      <c r="G19" s="4">
        <f t="shared" si="5"/>
        <v>28</v>
      </c>
      <c r="H19" s="8">
        <v>83162.7</v>
      </c>
      <c r="I19" s="8">
        <f t="shared" si="6"/>
        <v>2970.0964285714285</v>
      </c>
      <c r="J19" t="s">
        <v>15</v>
      </c>
      <c r="K19" t="s">
        <v>39</v>
      </c>
      <c r="L19">
        <v>100000</v>
      </c>
      <c r="M19" s="9" t="str">
        <f t="shared" si="7"/>
        <v>Y</v>
      </c>
      <c r="N19" s="4" t="str">
        <f t="shared" si="8"/>
        <v>GM98SLVBLA018</v>
      </c>
    </row>
    <row r="20" spans="1:14" ht="30" x14ac:dyDescent="0.25">
      <c r="A20" s="6" t="s">
        <v>47</v>
      </c>
      <c r="B20" s="7" t="str">
        <f t="shared" si="0"/>
        <v>GM</v>
      </c>
      <c r="C20" s="5" t="str">
        <f t="shared" si="1"/>
        <v>General Motors</v>
      </c>
      <c r="D20" s="7" t="str">
        <f t="shared" si="2"/>
        <v>SLV</v>
      </c>
      <c r="E20" s="4" t="str">
        <f t="shared" si="3"/>
        <v>Silverado</v>
      </c>
      <c r="F20" s="4" t="str">
        <f t="shared" si="4"/>
        <v>00</v>
      </c>
      <c r="G20" s="4">
        <f t="shared" si="5"/>
        <v>26</v>
      </c>
      <c r="H20" s="8">
        <v>80685.8</v>
      </c>
      <c r="I20" s="8">
        <f t="shared" si="6"/>
        <v>3103.3</v>
      </c>
      <c r="J20" t="s">
        <v>48</v>
      </c>
      <c r="K20" t="s">
        <v>36</v>
      </c>
      <c r="L20">
        <v>100000</v>
      </c>
      <c r="M20" s="9" t="str">
        <f t="shared" si="7"/>
        <v>Y</v>
      </c>
      <c r="N20" s="4" t="str">
        <f t="shared" si="8"/>
        <v>GM00SLVBLU019</v>
      </c>
    </row>
    <row r="21" spans="1:14" x14ac:dyDescent="0.25">
      <c r="A21" s="6" t="s">
        <v>49</v>
      </c>
      <c r="B21" s="7" t="str">
        <f t="shared" si="0"/>
        <v>TY</v>
      </c>
      <c r="C21" s="5" t="str">
        <f t="shared" si="1"/>
        <v>Toyota</v>
      </c>
      <c r="D21" s="7" t="str">
        <f t="shared" si="2"/>
        <v>CAM</v>
      </c>
      <c r="E21" s="4" t="str">
        <f t="shared" si="3"/>
        <v>Camery</v>
      </c>
      <c r="F21" s="4" t="str">
        <f t="shared" si="4"/>
        <v>96</v>
      </c>
      <c r="G21" s="4">
        <f t="shared" si="5"/>
        <v>30</v>
      </c>
      <c r="H21" s="8">
        <v>114660.6</v>
      </c>
      <c r="I21" s="8">
        <f t="shared" si="6"/>
        <v>3822.02</v>
      </c>
      <c r="J21" t="s">
        <v>21</v>
      </c>
      <c r="K21" t="s">
        <v>50</v>
      </c>
      <c r="L21">
        <v>100000</v>
      </c>
      <c r="M21" s="9" t="str">
        <f t="shared" si="7"/>
        <v>Not Covered</v>
      </c>
      <c r="N21" s="4" t="str">
        <f t="shared" si="8"/>
        <v>TY96CAMGRE020</v>
      </c>
    </row>
    <row r="22" spans="1:14" x14ac:dyDescent="0.25">
      <c r="A22" s="6" t="s">
        <v>51</v>
      </c>
      <c r="B22" s="7" t="str">
        <f t="shared" si="0"/>
        <v>TY</v>
      </c>
      <c r="C22" s="5" t="str">
        <f t="shared" si="1"/>
        <v>Toyota</v>
      </c>
      <c r="D22" s="7" t="str">
        <f t="shared" si="2"/>
        <v>CAM</v>
      </c>
      <c r="E22" s="4" t="str">
        <f t="shared" si="3"/>
        <v>Camery</v>
      </c>
      <c r="F22" s="4" t="str">
        <f t="shared" si="4"/>
        <v>98</v>
      </c>
      <c r="G22" s="4">
        <f t="shared" si="5"/>
        <v>28</v>
      </c>
      <c r="H22" s="8">
        <v>93382.6</v>
      </c>
      <c r="I22" s="8">
        <f t="shared" si="6"/>
        <v>3335.0928571428572</v>
      </c>
      <c r="J22" t="s">
        <v>15</v>
      </c>
      <c r="K22" t="s">
        <v>52</v>
      </c>
      <c r="L22">
        <v>100000</v>
      </c>
      <c r="M22" s="9" t="str">
        <f t="shared" si="7"/>
        <v>Y</v>
      </c>
      <c r="N22" s="4" t="str">
        <f t="shared" si="8"/>
        <v>TY98CAMBLA021</v>
      </c>
    </row>
    <row r="23" spans="1:14" x14ac:dyDescent="0.25">
      <c r="A23" s="6" t="s">
        <v>53</v>
      </c>
      <c r="B23" s="7" t="str">
        <f t="shared" si="0"/>
        <v>TY</v>
      </c>
      <c r="C23" s="5" t="str">
        <f t="shared" si="1"/>
        <v>Toyota</v>
      </c>
      <c r="D23" s="7" t="str">
        <f t="shared" si="2"/>
        <v>CAM</v>
      </c>
      <c r="E23" s="4" t="str">
        <f t="shared" si="3"/>
        <v>Camery</v>
      </c>
      <c r="F23" s="4" t="str">
        <f t="shared" si="4"/>
        <v>00</v>
      </c>
      <c r="G23" s="4">
        <f t="shared" si="5"/>
        <v>26</v>
      </c>
      <c r="H23" s="8">
        <v>85928</v>
      </c>
      <c r="I23" s="8">
        <f t="shared" si="6"/>
        <v>3304.9230769230771</v>
      </c>
      <c r="J23" t="s">
        <v>21</v>
      </c>
      <c r="K23" t="s">
        <v>26</v>
      </c>
      <c r="L23">
        <v>100000</v>
      </c>
      <c r="M23" s="9" t="str">
        <f t="shared" si="7"/>
        <v>Y</v>
      </c>
      <c r="N23" s="4" t="str">
        <f t="shared" si="8"/>
        <v>TY00CAMGRE022</v>
      </c>
    </row>
    <row r="24" spans="1:14" x14ac:dyDescent="0.25">
      <c r="A24" s="6" t="s">
        <v>54</v>
      </c>
      <c r="B24" s="7" t="str">
        <f t="shared" si="0"/>
        <v>TY</v>
      </c>
      <c r="C24" s="5" t="str">
        <f t="shared" si="1"/>
        <v>Toyota</v>
      </c>
      <c r="D24" s="7" t="str">
        <f t="shared" si="2"/>
        <v>CAM</v>
      </c>
      <c r="E24" s="4" t="str">
        <f t="shared" si="3"/>
        <v>Camery</v>
      </c>
      <c r="F24" s="4" t="str">
        <f t="shared" si="4"/>
        <v>02</v>
      </c>
      <c r="G24" s="4">
        <f t="shared" si="5"/>
        <v>24</v>
      </c>
      <c r="H24" s="8">
        <v>67829.100000000006</v>
      </c>
      <c r="I24" s="8">
        <f t="shared" si="6"/>
        <v>2826.2125000000001</v>
      </c>
      <c r="J24" t="s">
        <v>15</v>
      </c>
      <c r="K24" t="s">
        <v>16</v>
      </c>
      <c r="L24">
        <v>100000</v>
      </c>
      <c r="M24" s="9" t="str">
        <f t="shared" si="7"/>
        <v>Y</v>
      </c>
      <c r="N24" s="4" t="str">
        <f t="shared" si="8"/>
        <v>TY02CAMBLA023</v>
      </c>
    </row>
    <row r="25" spans="1:14" x14ac:dyDescent="0.25">
      <c r="A25" s="6" t="s">
        <v>55</v>
      </c>
      <c r="B25" s="7" t="str">
        <f t="shared" si="0"/>
        <v>TY</v>
      </c>
      <c r="C25" s="5" t="str">
        <f t="shared" si="1"/>
        <v>Toyota</v>
      </c>
      <c r="D25" s="7" t="str">
        <f t="shared" si="2"/>
        <v>CAM</v>
      </c>
      <c r="E25" s="4" t="str">
        <f t="shared" si="3"/>
        <v>Camery</v>
      </c>
      <c r="F25" s="4" t="str">
        <f t="shared" si="4"/>
        <v>09</v>
      </c>
      <c r="G25" s="4">
        <f t="shared" si="5"/>
        <v>17</v>
      </c>
      <c r="H25" s="8">
        <v>48114.2</v>
      </c>
      <c r="I25" s="8">
        <f t="shared" si="6"/>
        <v>2830.2470588235292</v>
      </c>
      <c r="J25" t="s">
        <v>18</v>
      </c>
      <c r="K25" t="s">
        <v>29</v>
      </c>
      <c r="L25">
        <v>100000</v>
      </c>
      <c r="M25" s="9" t="str">
        <f t="shared" si="7"/>
        <v>Y</v>
      </c>
      <c r="N25" s="4" t="str">
        <f t="shared" si="8"/>
        <v>TY09CAMWHI024</v>
      </c>
    </row>
    <row r="26" spans="1:14" x14ac:dyDescent="0.25">
      <c r="A26" s="6" t="s">
        <v>56</v>
      </c>
      <c r="B26" s="7" t="str">
        <f t="shared" si="0"/>
        <v>TY</v>
      </c>
      <c r="C26" s="5" t="str">
        <f t="shared" si="1"/>
        <v>Toyota</v>
      </c>
      <c r="D26" s="7" t="str">
        <f t="shared" si="2"/>
        <v>COR</v>
      </c>
      <c r="E26" s="4" t="str">
        <f t="shared" si="3"/>
        <v>Corola</v>
      </c>
      <c r="F26" s="4" t="str">
        <f t="shared" si="4"/>
        <v>02</v>
      </c>
      <c r="G26" s="4">
        <f t="shared" si="5"/>
        <v>24</v>
      </c>
      <c r="H26" s="8">
        <v>64467.4</v>
      </c>
      <c r="I26" s="8">
        <f t="shared" si="6"/>
        <v>2686.1416666666669</v>
      </c>
      <c r="J26" t="s">
        <v>57</v>
      </c>
      <c r="K26" t="s">
        <v>58</v>
      </c>
      <c r="L26">
        <v>100000</v>
      </c>
      <c r="M26" s="9" t="str">
        <f t="shared" si="7"/>
        <v>Y</v>
      </c>
      <c r="N26" s="4" t="str">
        <f t="shared" si="8"/>
        <v>TY02CORRED025</v>
      </c>
    </row>
    <row r="27" spans="1:14" x14ac:dyDescent="0.25">
      <c r="A27" s="6" t="s">
        <v>59</v>
      </c>
      <c r="B27" s="7" t="str">
        <f t="shared" si="0"/>
        <v>TY</v>
      </c>
      <c r="C27" s="5" t="str">
        <f t="shared" si="1"/>
        <v>Toyota</v>
      </c>
      <c r="D27" s="7" t="str">
        <f t="shared" si="2"/>
        <v>COR</v>
      </c>
      <c r="E27" s="4" t="str">
        <f t="shared" si="3"/>
        <v>Corola</v>
      </c>
      <c r="F27" s="4" t="str">
        <f t="shared" si="4"/>
        <v>03</v>
      </c>
      <c r="G27" s="4">
        <f t="shared" si="5"/>
        <v>23</v>
      </c>
      <c r="H27" s="8">
        <v>73444.399999999994</v>
      </c>
      <c r="I27" s="8">
        <f t="shared" si="6"/>
        <v>3193.2347826086952</v>
      </c>
      <c r="J27" t="s">
        <v>15</v>
      </c>
      <c r="K27" t="s">
        <v>58</v>
      </c>
      <c r="L27">
        <v>100000</v>
      </c>
      <c r="M27" s="9" t="str">
        <f t="shared" si="7"/>
        <v>Y</v>
      </c>
      <c r="N27" s="4" t="str">
        <f t="shared" si="8"/>
        <v>TY03CORBLA026</v>
      </c>
    </row>
    <row r="28" spans="1:14" x14ac:dyDescent="0.25">
      <c r="A28" s="6" t="s">
        <v>60</v>
      </c>
      <c r="B28" s="7" t="str">
        <f t="shared" si="0"/>
        <v>TY</v>
      </c>
      <c r="C28" s="5" t="str">
        <f t="shared" si="1"/>
        <v>Toyota</v>
      </c>
      <c r="D28" s="7" t="str">
        <f t="shared" si="2"/>
        <v>COR</v>
      </c>
      <c r="E28" s="4" t="str">
        <f t="shared" si="3"/>
        <v>Corola</v>
      </c>
      <c r="F28" s="4" t="str">
        <f t="shared" si="4"/>
        <v>14</v>
      </c>
      <c r="G28" s="4">
        <f t="shared" si="5"/>
        <v>12</v>
      </c>
      <c r="H28" s="8">
        <v>17556.3</v>
      </c>
      <c r="I28" s="8">
        <f t="shared" si="6"/>
        <v>1463.0249999999999</v>
      </c>
      <c r="J28" t="s">
        <v>48</v>
      </c>
      <c r="K28" t="s">
        <v>32</v>
      </c>
      <c r="L28">
        <v>100000</v>
      </c>
      <c r="M28" s="9" t="str">
        <f t="shared" si="7"/>
        <v>Y</v>
      </c>
      <c r="N28" s="4" t="str">
        <f t="shared" si="8"/>
        <v>TY14CORBLU027</v>
      </c>
    </row>
    <row r="29" spans="1:14" x14ac:dyDescent="0.25">
      <c r="A29" s="6" t="s">
        <v>61</v>
      </c>
      <c r="B29" s="7" t="str">
        <f t="shared" si="0"/>
        <v>TY</v>
      </c>
      <c r="C29" s="5" t="str">
        <f t="shared" si="1"/>
        <v>Toyota</v>
      </c>
      <c r="D29" s="7" t="str">
        <f t="shared" si="2"/>
        <v>COR</v>
      </c>
      <c r="E29" s="4" t="str">
        <f t="shared" si="3"/>
        <v>Corola</v>
      </c>
      <c r="F29" s="4" t="str">
        <f t="shared" si="4"/>
        <v>12</v>
      </c>
      <c r="G29" s="4">
        <f t="shared" si="5"/>
        <v>14</v>
      </c>
      <c r="H29" s="8">
        <v>29601.9</v>
      </c>
      <c r="I29" s="8">
        <f t="shared" si="6"/>
        <v>2114.4214285714288</v>
      </c>
      <c r="J29" t="s">
        <v>15</v>
      </c>
      <c r="K29" t="s">
        <v>39</v>
      </c>
      <c r="L29">
        <v>100000</v>
      </c>
      <c r="M29" s="9" t="str">
        <f t="shared" si="7"/>
        <v>Y</v>
      </c>
      <c r="N29" s="4" t="str">
        <f t="shared" si="8"/>
        <v>TY12CORBLA028</v>
      </c>
    </row>
    <row r="30" spans="1:14" x14ac:dyDescent="0.25">
      <c r="A30" s="6" t="s">
        <v>62</v>
      </c>
      <c r="B30" s="7" t="str">
        <f t="shared" si="0"/>
        <v>TY</v>
      </c>
      <c r="C30" s="5" t="str">
        <f t="shared" si="1"/>
        <v>Toyota</v>
      </c>
      <c r="D30" s="7" t="str">
        <f t="shared" si="2"/>
        <v>CAM</v>
      </c>
      <c r="E30" s="4" t="str">
        <f t="shared" si="3"/>
        <v>Camery</v>
      </c>
      <c r="F30" s="4" t="str">
        <f t="shared" si="4"/>
        <v>12</v>
      </c>
      <c r="G30" s="4">
        <f t="shared" si="5"/>
        <v>14</v>
      </c>
      <c r="H30" s="8">
        <v>22128.2</v>
      </c>
      <c r="I30" s="8">
        <f t="shared" si="6"/>
        <v>1580.5857142857144</v>
      </c>
      <c r="J30" t="s">
        <v>48</v>
      </c>
      <c r="K30" t="s">
        <v>50</v>
      </c>
      <c r="L30">
        <v>100000</v>
      </c>
      <c r="M30" s="9" t="str">
        <f t="shared" si="7"/>
        <v>Y</v>
      </c>
      <c r="N30" s="4" t="str">
        <f t="shared" si="8"/>
        <v>TY12CAMBLU029</v>
      </c>
    </row>
    <row r="31" spans="1:14" x14ac:dyDescent="0.25">
      <c r="A31" s="6" t="s">
        <v>63</v>
      </c>
      <c r="B31" s="7" t="str">
        <f t="shared" si="0"/>
        <v>HO</v>
      </c>
      <c r="C31" s="5" t="str">
        <f t="shared" si="1"/>
        <v>Honda</v>
      </c>
      <c r="D31" s="7" t="str">
        <f t="shared" si="2"/>
        <v>CIV</v>
      </c>
      <c r="E31" s="4" t="str">
        <f t="shared" si="3"/>
        <v>Civic</v>
      </c>
      <c r="F31" s="4" t="str">
        <f t="shared" si="4"/>
        <v>99</v>
      </c>
      <c r="G31" s="4">
        <f t="shared" si="5"/>
        <v>27</v>
      </c>
      <c r="H31" s="8">
        <v>82374</v>
      </c>
      <c r="I31" s="8">
        <f t="shared" si="6"/>
        <v>3050.8888888888887</v>
      </c>
      <c r="J31" t="s">
        <v>18</v>
      </c>
      <c r="K31" t="s">
        <v>38</v>
      </c>
      <c r="L31">
        <v>75000</v>
      </c>
      <c r="M31" s="9" t="str">
        <f t="shared" si="7"/>
        <v>Not Covered</v>
      </c>
      <c r="N31" s="4" t="str">
        <f t="shared" si="8"/>
        <v>HO99CIVWHI030</v>
      </c>
    </row>
    <row r="32" spans="1:14" x14ac:dyDescent="0.25">
      <c r="A32" s="6" t="s">
        <v>64</v>
      </c>
      <c r="B32" s="7" t="str">
        <f t="shared" si="0"/>
        <v>HO</v>
      </c>
      <c r="C32" s="5" t="str">
        <f t="shared" si="1"/>
        <v>Honda</v>
      </c>
      <c r="D32" s="7" t="str">
        <f t="shared" si="2"/>
        <v>CIV</v>
      </c>
      <c r="E32" s="4" t="str">
        <f t="shared" si="3"/>
        <v>Civic</v>
      </c>
      <c r="F32" s="4" t="str">
        <f t="shared" si="4"/>
        <v>01</v>
      </c>
      <c r="G32" s="4">
        <f t="shared" si="5"/>
        <v>25</v>
      </c>
      <c r="H32" s="8">
        <v>69891.899999999994</v>
      </c>
      <c r="I32" s="8">
        <f t="shared" si="6"/>
        <v>2795.6759999999999</v>
      </c>
      <c r="J32" t="s">
        <v>48</v>
      </c>
      <c r="K32" t="s">
        <v>24</v>
      </c>
      <c r="L32">
        <v>75000</v>
      </c>
      <c r="M32" s="9" t="str">
        <f t="shared" si="7"/>
        <v>Y</v>
      </c>
      <c r="N32" s="4" t="str">
        <f t="shared" si="8"/>
        <v>HO01CIVBLU031</v>
      </c>
    </row>
    <row r="33" spans="1:14" x14ac:dyDescent="0.25">
      <c r="A33" s="6" t="s">
        <v>65</v>
      </c>
      <c r="B33" s="7" t="str">
        <f t="shared" si="0"/>
        <v>HO</v>
      </c>
      <c r="C33" s="5" t="str">
        <f t="shared" si="1"/>
        <v>Honda</v>
      </c>
      <c r="D33" s="7" t="str">
        <f t="shared" si="2"/>
        <v>CIV</v>
      </c>
      <c r="E33" s="4" t="str">
        <f t="shared" si="3"/>
        <v>Civic</v>
      </c>
      <c r="F33" s="4" t="str">
        <f t="shared" si="4"/>
        <v>10</v>
      </c>
      <c r="G33" s="4">
        <f t="shared" si="5"/>
        <v>16</v>
      </c>
      <c r="H33" s="8">
        <v>22573</v>
      </c>
      <c r="I33" s="8">
        <f t="shared" si="6"/>
        <v>1410.8125</v>
      </c>
      <c r="J33" t="s">
        <v>48</v>
      </c>
      <c r="K33" t="s">
        <v>43</v>
      </c>
      <c r="L33">
        <v>75000</v>
      </c>
      <c r="M33" s="9" t="str">
        <f t="shared" si="7"/>
        <v>Y</v>
      </c>
      <c r="N33" s="4" t="str">
        <f t="shared" si="8"/>
        <v>HO10CIVBLU032</v>
      </c>
    </row>
    <row r="34" spans="1:14" x14ac:dyDescent="0.25">
      <c r="A34" s="6" t="s">
        <v>66</v>
      </c>
      <c r="B34" s="7" t="str">
        <f t="shared" si="0"/>
        <v>HO</v>
      </c>
      <c r="C34" s="5" t="str">
        <f t="shared" si="1"/>
        <v>Honda</v>
      </c>
      <c r="D34" s="7" t="str">
        <f t="shared" si="2"/>
        <v>CIV</v>
      </c>
      <c r="E34" s="4" t="str">
        <f t="shared" si="3"/>
        <v>Civic</v>
      </c>
      <c r="F34" s="4" t="str">
        <f t="shared" si="4"/>
        <v>10</v>
      </c>
      <c r="G34" s="4">
        <f t="shared" si="5"/>
        <v>16</v>
      </c>
      <c r="H34" s="8">
        <v>33477.199999999997</v>
      </c>
      <c r="I34" s="8">
        <f t="shared" si="6"/>
        <v>2092.3249999999998</v>
      </c>
      <c r="J34" t="s">
        <v>15</v>
      </c>
      <c r="K34" t="s">
        <v>52</v>
      </c>
      <c r="L34">
        <v>75000</v>
      </c>
      <c r="M34" s="9" t="str">
        <f t="shared" si="7"/>
        <v>Y</v>
      </c>
      <c r="N34" s="4" t="str">
        <f t="shared" si="8"/>
        <v>HO10CIVBLA033</v>
      </c>
    </row>
    <row r="35" spans="1:14" x14ac:dyDescent="0.25">
      <c r="A35" s="6" t="s">
        <v>67</v>
      </c>
      <c r="B35" s="7" t="str">
        <f t="shared" si="0"/>
        <v>HO</v>
      </c>
      <c r="C35" s="5" t="str">
        <f t="shared" si="1"/>
        <v>Honda</v>
      </c>
      <c r="D35" s="7" t="str">
        <f t="shared" si="2"/>
        <v>CIV</v>
      </c>
      <c r="E35" s="4" t="str">
        <f t="shared" si="3"/>
        <v>Civic</v>
      </c>
      <c r="F35" s="4" t="str">
        <f t="shared" si="4"/>
        <v>11</v>
      </c>
      <c r="G35" s="4">
        <f t="shared" si="5"/>
        <v>15</v>
      </c>
      <c r="H35" s="8">
        <v>30555.3</v>
      </c>
      <c r="I35" s="8">
        <f t="shared" si="6"/>
        <v>2037.02</v>
      </c>
      <c r="J35" t="s">
        <v>15</v>
      </c>
      <c r="K35" t="s">
        <v>22</v>
      </c>
      <c r="L35">
        <v>75000</v>
      </c>
      <c r="M35" s="9" t="str">
        <f t="shared" si="7"/>
        <v>Y</v>
      </c>
      <c r="N35" s="4" t="str">
        <f t="shared" si="8"/>
        <v>HO11CIVBLA034</v>
      </c>
    </row>
    <row r="36" spans="1:14" x14ac:dyDescent="0.25">
      <c r="A36" s="6" t="s">
        <v>68</v>
      </c>
      <c r="B36" s="7" t="str">
        <f t="shared" si="0"/>
        <v>HO</v>
      </c>
      <c r="C36" s="5" t="str">
        <f t="shared" si="1"/>
        <v>Honda</v>
      </c>
      <c r="D36" s="7" t="str">
        <f t="shared" si="2"/>
        <v>CIV</v>
      </c>
      <c r="E36" s="4" t="str">
        <f t="shared" si="3"/>
        <v>Civic</v>
      </c>
      <c r="F36" s="4" t="str">
        <f t="shared" si="4"/>
        <v>12</v>
      </c>
      <c r="G36" s="4">
        <f t="shared" si="5"/>
        <v>14</v>
      </c>
      <c r="H36" s="8">
        <v>24513.200000000001</v>
      </c>
      <c r="I36" s="8">
        <f t="shared" si="6"/>
        <v>1750.9428571428573</v>
      </c>
      <c r="J36" t="s">
        <v>15</v>
      </c>
      <c r="K36" t="s">
        <v>45</v>
      </c>
      <c r="L36">
        <v>75000</v>
      </c>
      <c r="M36" s="9" t="str">
        <f t="shared" si="7"/>
        <v>Y</v>
      </c>
      <c r="N36" s="4" t="str">
        <f t="shared" si="8"/>
        <v>HO12CIVBLA035</v>
      </c>
    </row>
    <row r="37" spans="1:14" x14ac:dyDescent="0.25">
      <c r="A37" s="6" t="s">
        <v>69</v>
      </c>
      <c r="B37" s="7" t="str">
        <f t="shared" si="0"/>
        <v>HO</v>
      </c>
      <c r="C37" s="5" t="str">
        <f t="shared" si="1"/>
        <v>Honda</v>
      </c>
      <c r="D37" s="7" t="str">
        <f t="shared" si="2"/>
        <v>CIV</v>
      </c>
      <c r="E37" s="4" t="str">
        <f t="shared" si="3"/>
        <v>Civic</v>
      </c>
      <c r="F37" s="4" t="str">
        <f t="shared" si="4"/>
        <v>13</v>
      </c>
      <c r="G37" s="4">
        <f t="shared" si="5"/>
        <v>13</v>
      </c>
      <c r="H37" s="8">
        <v>13867.6</v>
      </c>
      <c r="I37" s="8">
        <f t="shared" si="6"/>
        <v>1066.7384615384615</v>
      </c>
      <c r="J37" t="s">
        <v>15</v>
      </c>
      <c r="K37" t="s">
        <v>50</v>
      </c>
      <c r="L37">
        <v>75000</v>
      </c>
      <c r="M37" s="9" t="str">
        <f t="shared" si="7"/>
        <v>Y</v>
      </c>
      <c r="N37" s="4" t="str">
        <f t="shared" si="8"/>
        <v>HO13CIVBLA036</v>
      </c>
    </row>
    <row r="38" spans="1:14" x14ac:dyDescent="0.25">
      <c r="A38" s="6" t="s">
        <v>121</v>
      </c>
      <c r="B38" s="7" t="str">
        <f t="shared" si="0"/>
        <v>HO</v>
      </c>
      <c r="C38" s="5" t="str">
        <f t="shared" si="1"/>
        <v>Honda</v>
      </c>
      <c r="D38" s="7" t="str">
        <f t="shared" si="2"/>
        <v>ODY</v>
      </c>
      <c r="E38" s="4" t="str">
        <f t="shared" si="3"/>
        <v>Odyssey</v>
      </c>
      <c r="F38" s="4" t="str">
        <f t="shared" si="4"/>
        <v>05</v>
      </c>
      <c r="G38" s="4">
        <f t="shared" si="5"/>
        <v>21</v>
      </c>
      <c r="H38" s="8">
        <v>60389.5</v>
      </c>
      <c r="I38" s="8">
        <f t="shared" si="6"/>
        <v>2875.6904761904761</v>
      </c>
      <c r="J38" t="s">
        <v>18</v>
      </c>
      <c r="K38" t="s">
        <v>29</v>
      </c>
      <c r="L38">
        <v>100000</v>
      </c>
      <c r="M38" s="9" t="str">
        <f t="shared" si="7"/>
        <v>Y</v>
      </c>
      <c r="N38" s="4" t="str">
        <f t="shared" si="8"/>
        <v>HO05ODYWHI037</v>
      </c>
    </row>
    <row r="39" spans="1:14" x14ac:dyDescent="0.25">
      <c r="A39" s="6" t="s">
        <v>70</v>
      </c>
      <c r="B39" s="7" t="str">
        <f t="shared" si="0"/>
        <v>HO</v>
      </c>
      <c r="C39" s="5" t="str">
        <f t="shared" si="1"/>
        <v>Honda</v>
      </c>
      <c r="D39" s="7" t="str">
        <f t="shared" si="2"/>
        <v>ODY</v>
      </c>
      <c r="E39" s="4" t="str">
        <f t="shared" si="3"/>
        <v>Odyssey</v>
      </c>
      <c r="F39" s="4" t="str">
        <f t="shared" si="4"/>
        <v>07</v>
      </c>
      <c r="G39" s="4">
        <f t="shared" si="5"/>
        <v>19</v>
      </c>
      <c r="H39" s="8">
        <v>50854.1</v>
      </c>
      <c r="I39" s="8">
        <f t="shared" si="6"/>
        <v>2676.5315789473684</v>
      </c>
      <c r="J39" t="s">
        <v>15</v>
      </c>
      <c r="K39" t="s">
        <v>52</v>
      </c>
      <c r="L39">
        <v>100000</v>
      </c>
      <c r="M39" s="9" t="str">
        <f t="shared" si="7"/>
        <v>Y</v>
      </c>
      <c r="N39" s="4" t="str">
        <f t="shared" si="8"/>
        <v>HO07ODYBLA038</v>
      </c>
    </row>
    <row r="40" spans="1:14" x14ac:dyDescent="0.25">
      <c r="A40" s="6" t="s">
        <v>71</v>
      </c>
      <c r="B40" s="7" t="str">
        <f t="shared" si="0"/>
        <v>HO</v>
      </c>
      <c r="C40" s="5" t="str">
        <f t="shared" si="1"/>
        <v>Honda</v>
      </c>
      <c r="D40" s="7" t="str">
        <f t="shared" si="2"/>
        <v>ODY</v>
      </c>
      <c r="E40" s="4" t="str">
        <f t="shared" si="3"/>
        <v>Odyssey</v>
      </c>
      <c r="F40" s="4" t="str">
        <f t="shared" si="4"/>
        <v>08</v>
      </c>
      <c r="G40" s="4">
        <f t="shared" si="5"/>
        <v>18</v>
      </c>
      <c r="H40" s="8">
        <v>42504.6</v>
      </c>
      <c r="I40" s="8">
        <f t="shared" si="6"/>
        <v>2361.3666666666668</v>
      </c>
      <c r="J40" t="s">
        <v>18</v>
      </c>
      <c r="K40" t="s">
        <v>38</v>
      </c>
      <c r="L40">
        <v>100000</v>
      </c>
      <c r="M40" s="9" t="str">
        <f t="shared" si="7"/>
        <v>Y</v>
      </c>
      <c r="N40" s="4" t="str">
        <f t="shared" si="8"/>
        <v>HO08ODYWHI039</v>
      </c>
    </row>
    <row r="41" spans="1:14" x14ac:dyDescent="0.25">
      <c r="A41" s="6" t="s">
        <v>118</v>
      </c>
      <c r="B41" s="7" t="str">
        <f t="shared" si="0"/>
        <v>HO</v>
      </c>
      <c r="C41" s="5" t="str">
        <f t="shared" si="1"/>
        <v>Honda</v>
      </c>
      <c r="D41" s="7" t="str">
        <f>MID(A41, 5, 3)</f>
        <v>ODY</v>
      </c>
      <c r="E41" s="4" t="str">
        <f t="shared" si="3"/>
        <v>Odyssey</v>
      </c>
      <c r="F41" s="4" t="str">
        <f t="shared" si="4"/>
        <v>01</v>
      </c>
      <c r="G41" s="4">
        <f t="shared" si="5"/>
        <v>25</v>
      </c>
      <c r="H41" s="8">
        <v>68658.899999999994</v>
      </c>
      <c r="I41" s="8">
        <f t="shared" si="6"/>
        <v>2746.3559999999998</v>
      </c>
      <c r="J41" t="s">
        <v>15</v>
      </c>
      <c r="K41" t="s">
        <v>16</v>
      </c>
      <c r="L41">
        <v>100000</v>
      </c>
      <c r="M41" s="9" t="str">
        <f t="shared" si="7"/>
        <v>Y</v>
      </c>
      <c r="N41" s="4" t="str">
        <f t="shared" si="8"/>
        <v>HO01ODYBLA040</v>
      </c>
    </row>
    <row r="42" spans="1:14" x14ac:dyDescent="0.25">
      <c r="A42" s="6" t="s">
        <v>72</v>
      </c>
      <c r="B42" s="7" t="str">
        <f t="shared" si="0"/>
        <v>HO</v>
      </c>
      <c r="C42" s="5" t="str">
        <f t="shared" si="1"/>
        <v>Honda</v>
      </c>
      <c r="D42" s="7" t="str">
        <f t="shared" si="2"/>
        <v>ODY</v>
      </c>
      <c r="E42" s="4" t="str">
        <f t="shared" si="3"/>
        <v>Odyssey</v>
      </c>
      <c r="F42" s="4" t="str">
        <f t="shared" si="4"/>
        <v>14</v>
      </c>
      <c r="G42" s="4">
        <f t="shared" si="5"/>
        <v>12</v>
      </c>
      <c r="H42" s="8">
        <v>3708.1</v>
      </c>
      <c r="I42" s="8">
        <f t="shared" si="6"/>
        <v>309.00833333333333</v>
      </c>
      <c r="J42" t="s">
        <v>15</v>
      </c>
      <c r="K42" t="s">
        <v>19</v>
      </c>
      <c r="L42">
        <v>100000</v>
      </c>
      <c r="M42" s="9" t="str">
        <f t="shared" si="7"/>
        <v>Y</v>
      </c>
      <c r="N42" s="4" t="str">
        <f t="shared" si="8"/>
        <v>HO14ODYBLA041</v>
      </c>
    </row>
    <row r="43" spans="1:14" x14ac:dyDescent="0.25">
      <c r="A43" s="6" t="s">
        <v>73</v>
      </c>
      <c r="B43" s="7" t="str">
        <f t="shared" si="0"/>
        <v>CR</v>
      </c>
      <c r="C43" s="5" t="str">
        <f t="shared" si="1"/>
        <v>Chrysler</v>
      </c>
      <c r="D43" s="7" t="str">
        <f t="shared" si="2"/>
        <v>PTC</v>
      </c>
      <c r="E43" s="4" t="str">
        <f t="shared" si="3"/>
        <v>PT Cruiser</v>
      </c>
      <c r="F43" s="4" t="str">
        <f t="shared" si="4"/>
        <v>04</v>
      </c>
      <c r="G43" s="4">
        <f t="shared" si="5"/>
        <v>22</v>
      </c>
      <c r="H43" s="8">
        <v>64542</v>
      </c>
      <c r="I43" s="8">
        <f t="shared" si="6"/>
        <v>2933.7272727272725</v>
      </c>
      <c r="J43" t="s">
        <v>48</v>
      </c>
      <c r="K43" t="s">
        <v>16</v>
      </c>
      <c r="L43">
        <v>75000</v>
      </c>
      <c r="M43" s="9" t="str">
        <f t="shared" si="7"/>
        <v>Y</v>
      </c>
      <c r="N43" s="4" t="str">
        <f t="shared" si="8"/>
        <v>CR04PTCBLU042</v>
      </c>
    </row>
    <row r="44" spans="1:14" x14ac:dyDescent="0.25">
      <c r="A44" s="6" t="s">
        <v>74</v>
      </c>
      <c r="B44" s="7" t="str">
        <f t="shared" si="0"/>
        <v>CR</v>
      </c>
      <c r="C44" s="5" t="str">
        <f t="shared" si="1"/>
        <v>Chrysler</v>
      </c>
      <c r="D44" s="7" t="str">
        <f t="shared" si="2"/>
        <v>PTC</v>
      </c>
      <c r="E44" s="4" t="str">
        <f t="shared" si="3"/>
        <v>PT Cruiser</v>
      </c>
      <c r="F44" s="4" t="str">
        <f t="shared" si="4"/>
        <v>07</v>
      </c>
      <c r="G44" s="4">
        <f t="shared" si="5"/>
        <v>19</v>
      </c>
      <c r="H44" s="8">
        <v>42074.2</v>
      </c>
      <c r="I44" s="8">
        <f t="shared" si="6"/>
        <v>2214.4315789473681</v>
      </c>
      <c r="J44" t="s">
        <v>21</v>
      </c>
      <c r="K44" t="s">
        <v>58</v>
      </c>
      <c r="L44">
        <v>75000</v>
      </c>
      <c r="M44" s="9" t="str">
        <f t="shared" si="7"/>
        <v>Y</v>
      </c>
      <c r="N44" s="4" t="str">
        <f t="shared" si="8"/>
        <v>CR07PTCGRE043</v>
      </c>
    </row>
    <row r="45" spans="1:14" x14ac:dyDescent="0.25">
      <c r="A45" s="6" t="s">
        <v>75</v>
      </c>
      <c r="B45" s="7" t="str">
        <f t="shared" si="0"/>
        <v>CR</v>
      </c>
      <c r="C45" s="5" t="str">
        <f t="shared" si="1"/>
        <v>Chrysler</v>
      </c>
      <c r="D45" s="7" t="str">
        <f t="shared" si="2"/>
        <v>PTC</v>
      </c>
      <c r="E45" s="4" t="str">
        <f t="shared" si="3"/>
        <v>PT Cruiser</v>
      </c>
      <c r="F45" s="4" t="str">
        <f t="shared" si="4"/>
        <v>11</v>
      </c>
      <c r="G45" s="4">
        <f t="shared" si="5"/>
        <v>15</v>
      </c>
      <c r="H45" s="8">
        <v>27394.2</v>
      </c>
      <c r="I45" s="8">
        <f t="shared" si="6"/>
        <v>1826.28</v>
      </c>
      <c r="J45" t="s">
        <v>15</v>
      </c>
      <c r="K45" t="s">
        <v>36</v>
      </c>
      <c r="L45">
        <v>75000</v>
      </c>
      <c r="M45" s="9" t="str">
        <f t="shared" si="7"/>
        <v>Y</v>
      </c>
      <c r="N45" s="4" t="str">
        <f t="shared" si="8"/>
        <v>CR11PTCBLA044</v>
      </c>
    </row>
    <row r="46" spans="1:14" x14ac:dyDescent="0.25">
      <c r="A46" s="6" t="s">
        <v>76</v>
      </c>
      <c r="B46" s="7" t="str">
        <f t="shared" si="0"/>
        <v>CR</v>
      </c>
      <c r="C46" s="5" t="str">
        <f t="shared" si="1"/>
        <v>Chrysler</v>
      </c>
      <c r="D46" s="7" t="str">
        <f t="shared" si="2"/>
        <v>CAR</v>
      </c>
      <c r="E46" s="4" t="str">
        <f t="shared" si="3"/>
        <v>Caravan</v>
      </c>
      <c r="F46" s="4" t="str">
        <f t="shared" si="4"/>
        <v>99</v>
      </c>
      <c r="G46" s="4">
        <f t="shared" si="5"/>
        <v>27</v>
      </c>
      <c r="H46" s="8">
        <v>79420.600000000006</v>
      </c>
      <c r="I46" s="8">
        <f t="shared" si="6"/>
        <v>2941.5037037037041</v>
      </c>
      <c r="J46" t="s">
        <v>21</v>
      </c>
      <c r="K46" t="s">
        <v>45</v>
      </c>
      <c r="L46">
        <v>75000</v>
      </c>
      <c r="M46" s="9" t="str">
        <f t="shared" si="7"/>
        <v>Not Covered</v>
      </c>
      <c r="N46" s="4" t="str">
        <f t="shared" si="8"/>
        <v>CR99CARGRE045</v>
      </c>
    </row>
    <row r="47" spans="1:14" x14ac:dyDescent="0.25">
      <c r="A47" s="6" t="s">
        <v>77</v>
      </c>
      <c r="B47" s="7" t="str">
        <f t="shared" si="0"/>
        <v>CR</v>
      </c>
      <c r="C47" s="5" t="str">
        <f t="shared" si="1"/>
        <v>Chrysler</v>
      </c>
      <c r="D47" s="7" t="str">
        <f t="shared" si="2"/>
        <v>CAR</v>
      </c>
      <c r="E47" s="4" t="str">
        <f t="shared" si="3"/>
        <v>Caravan</v>
      </c>
      <c r="F47" s="4" t="str">
        <f t="shared" si="4"/>
        <v>00</v>
      </c>
      <c r="G47" s="4">
        <f t="shared" si="5"/>
        <v>26</v>
      </c>
      <c r="H47" s="8">
        <v>77243.100000000006</v>
      </c>
      <c r="I47" s="8">
        <f t="shared" si="6"/>
        <v>2970.8884615384618</v>
      </c>
      <c r="J47" t="s">
        <v>15</v>
      </c>
      <c r="K47" t="s">
        <v>24</v>
      </c>
      <c r="L47">
        <v>75000</v>
      </c>
      <c r="M47" s="9" t="str">
        <f t="shared" si="7"/>
        <v>Not Covered</v>
      </c>
      <c r="N47" s="4" t="str">
        <f t="shared" si="8"/>
        <v>CR00CARBLA046</v>
      </c>
    </row>
    <row r="48" spans="1:14" x14ac:dyDescent="0.25">
      <c r="A48" s="6" t="s">
        <v>78</v>
      </c>
      <c r="B48" s="7" t="str">
        <f t="shared" si="0"/>
        <v>CR</v>
      </c>
      <c r="C48" s="5" t="str">
        <f t="shared" si="1"/>
        <v>Chrysler</v>
      </c>
      <c r="D48" s="7" t="str">
        <f t="shared" si="2"/>
        <v>CAR</v>
      </c>
      <c r="E48" s="4" t="str">
        <f t="shared" si="3"/>
        <v>Caravan</v>
      </c>
      <c r="F48" s="4" t="str">
        <f t="shared" si="4"/>
        <v>04</v>
      </c>
      <c r="G48" s="4">
        <f t="shared" si="5"/>
        <v>22</v>
      </c>
      <c r="H48" s="8">
        <v>72527.199999999997</v>
      </c>
      <c r="I48" s="8">
        <f t="shared" si="6"/>
        <v>3296.6909090909089</v>
      </c>
      <c r="J48" t="s">
        <v>18</v>
      </c>
      <c r="K48" t="s">
        <v>41</v>
      </c>
      <c r="L48">
        <v>75000</v>
      </c>
      <c r="M48" s="9" t="str">
        <f t="shared" si="7"/>
        <v>Y</v>
      </c>
      <c r="N48" s="4" t="str">
        <f t="shared" si="8"/>
        <v>CR04CARWHI047</v>
      </c>
    </row>
    <row r="49" spans="1:14" x14ac:dyDescent="0.25">
      <c r="A49" s="6" t="s">
        <v>79</v>
      </c>
      <c r="B49" s="7" t="str">
        <f t="shared" si="0"/>
        <v>CR</v>
      </c>
      <c r="C49" s="5" t="str">
        <f t="shared" si="1"/>
        <v>Chrysler</v>
      </c>
      <c r="D49" s="7" t="str">
        <f t="shared" si="2"/>
        <v>CAR</v>
      </c>
      <c r="E49" s="4" t="str">
        <f t="shared" si="3"/>
        <v>Caravan</v>
      </c>
      <c r="F49" s="4" t="str">
        <f t="shared" si="4"/>
        <v>04</v>
      </c>
      <c r="G49" s="4">
        <f t="shared" si="5"/>
        <v>22</v>
      </c>
      <c r="H49" s="8">
        <v>52699.4</v>
      </c>
      <c r="I49" s="8">
        <f t="shared" si="6"/>
        <v>2395.4272727272728</v>
      </c>
      <c r="J49" t="s">
        <v>57</v>
      </c>
      <c r="K49" t="s">
        <v>41</v>
      </c>
      <c r="L49">
        <v>75000</v>
      </c>
      <c r="M49" s="9" t="str">
        <f t="shared" si="7"/>
        <v>Y</v>
      </c>
      <c r="N49" s="4" t="str">
        <f t="shared" si="8"/>
        <v>CR04CARRED048</v>
      </c>
    </row>
    <row r="50" spans="1:14" x14ac:dyDescent="0.25">
      <c r="A50" s="6" t="s">
        <v>80</v>
      </c>
      <c r="B50" s="7" t="str">
        <f t="shared" si="0"/>
        <v>HY</v>
      </c>
      <c r="C50" s="5" t="str">
        <f t="shared" si="1"/>
        <v>Hyndai</v>
      </c>
      <c r="D50" s="7" t="str">
        <f>MID(A50, 5, 3)</f>
        <v>ELA</v>
      </c>
      <c r="E50" s="4" t="str">
        <f>VLOOKUP(D50, D$57:E$67, 2)</f>
        <v>Elantra</v>
      </c>
      <c r="F50" s="4" t="str">
        <f t="shared" si="4"/>
        <v>11</v>
      </c>
      <c r="G50" s="4">
        <f t="shared" si="5"/>
        <v>15</v>
      </c>
      <c r="H50" s="8">
        <v>29102.3</v>
      </c>
      <c r="I50" s="8">
        <f t="shared" si="6"/>
        <v>1940.1533333333332</v>
      </c>
      <c r="J50" t="s">
        <v>15</v>
      </c>
      <c r="K50" t="s">
        <v>43</v>
      </c>
      <c r="L50">
        <v>100000</v>
      </c>
      <c r="M50" s="9" t="str">
        <f t="shared" si="7"/>
        <v>Y</v>
      </c>
      <c r="N50" s="4" t="str">
        <f t="shared" si="8"/>
        <v>HY11ELABLA049</v>
      </c>
    </row>
    <row r="51" spans="1:14" x14ac:dyDescent="0.25">
      <c r="A51" s="6" t="s">
        <v>81</v>
      </c>
      <c r="B51" s="7" t="str">
        <f t="shared" si="0"/>
        <v>HY</v>
      </c>
      <c r="C51" s="5" t="str">
        <f t="shared" si="1"/>
        <v>Hyndai</v>
      </c>
      <c r="D51" s="7" t="str">
        <f t="shared" si="2"/>
        <v>ELA</v>
      </c>
      <c r="E51" s="4" t="str">
        <f t="shared" si="3"/>
        <v>Elantra</v>
      </c>
      <c r="F51" s="4" t="str">
        <f t="shared" si="4"/>
        <v>12</v>
      </c>
      <c r="G51" s="4">
        <f t="shared" si="5"/>
        <v>14</v>
      </c>
      <c r="H51" s="8">
        <v>22282</v>
      </c>
      <c r="I51" s="8">
        <f t="shared" si="6"/>
        <v>1591.5714285714287</v>
      </c>
      <c r="J51" t="s">
        <v>48</v>
      </c>
      <c r="K51" t="s">
        <v>19</v>
      </c>
      <c r="L51">
        <v>100000</v>
      </c>
      <c r="M51" s="9" t="str">
        <f t="shared" si="7"/>
        <v>Y</v>
      </c>
      <c r="N51" s="4" t="str">
        <f t="shared" si="8"/>
        <v>HY12ELABLU050</v>
      </c>
    </row>
    <row r="52" spans="1:14" x14ac:dyDescent="0.25">
      <c r="A52" s="6" t="s">
        <v>82</v>
      </c>
      <c r="B52" s="7" t="str">
        <f t="shared" si="0"/>
        <v>HY</v>
      </c>
      <c r="C52" s="5" t="str">
        <f t="shared" si="1"/>
        <v>Hyndai</v>
      </c>
      <c r="D52" s="7" t="str">
        <f t="shared" si="2"/>
        <v>ELA</v>
      </c>
      <c r="E52" s="4" t="str">
        <f t="shared" si="3"/>
        <v>Elantra</v>
      </c>
      <c r="F52" s="4" t="str">
        <f t="shared" si="4"/>
        <v>13</v>
      </c>
      <c r="G52" s="4">
        <f t="shared" si="5"/>
        <v>13</v>
      </c>
      <c r="H52" s="8">
        <v>20223.900000000001</v>
      </c>
      <c r="I52" s="8">
        <f t="shared" si="6"/>
        <v>1555.6846153846154</v>
      </c>
      <c r="J52" t="s">
        <v>15</v>
      </c>
      <c r="K52" t="s">
        <v>32</v>
      </c>
      <c r="L52">
        <v>100000</v>
      </c>
      <c r="M52" s="9" t="str">
        <f t="shared" si="7"/>
        <v>Y</v>
      </c>
      <c r="N52" s="4" t="str">
        <f t="shared" si="8"/>
        <v>HY13ELABLA051</v>
      </c>
    </row>
    <row r="53" spans="1:14" x14ac:dyDescent="0.25">
      <c r="A53" s="6" t="s">
        <v>83</v>
      </c>
      <c r="B53" s="7" t="str">
        <f t="shared" si="0"/>
        <v>HY</v>
      </c>
      <c r="C53" s="5" t="str">
        <f t="shared" si="1"/>
        <v>Hyndai</v>
      </c>
      <c r="D53" s="7" t="str">
        <f t="shared" si="2"/>
        <v>ELA</v>
      </c>
      <c r="E53" s="4" t="str">
        <f t="shared" si="3"/>
        <v>Elantra</v>
      </c>
      <c r="F53" s="4" t="str">
        <f t="shared" si="4"/>
        <v>13</v>
      </c>
      <c r="G53" s="4">
        <f t="shared" si="5"/>
        <v>13</v>
      </c>
      <c r="H53" s="8">
        <v>22188.5</v>
      </c>
      <c r="I53" s="8">
        <f t="shared" si="6"/>
        <v>1706.8076923076924</v>
      </c>
      <c r="J53" t="s">
        <v>48</v>
      </c>
      <c r="K53" t="s">
        <v>26</v>
      </c>
      <c r="L53">
        <v>100000</v>
      </c>
      <c r="M53" s="9" t="str">
        <f t="shared" si="7"/>
        <v>Y</v>
      </c>
      <c r="N53" s="4" t="str">
        <f t="shared" si="8"/>
        <v>HY13ELABLU052</v>
      </c>
    </row>
    <row r="57" spans="1:14" x14ac:dyDescent="0.25">
      <c r="B57" s="7" t="s">
        <v>84</v>
      </c>
      <c r="C57" s="4" t="s">
        <v>90</v>
      </c>
      <c r="D57" s="4" t="s">
        <v>96</v>
      </c>
      <c r="E57" s="4" t="s">
        <v>97</v>
      </c>
    </row>
    <row r="58" spans="1:14" x14ac:dyDescent="0.25">
      <c r="B58" s="7" t="s">
        <v>89</v>
      </c>
      <c r="C58" s="4" t="s">
        <v>95</v>
      </c>
      <c r="D58" s="4" t="s">
        <v>106</v>
      </c>
      <c r="E58" s="4" t="s">
        <v>107</v>
      </c>
    </row>
    <row r="59" spans="1:14" ht="30" x14ac:dyDescent="0.25">
      <c r="B59" s="7" t="s">
        <v>88</v>
      </c>
      <c r="C59" s="1" t="s">
        <v>94</v>
      </c>
      <c r="D59" s="4" t="s">
        <v>108</v>
      </c>
      <c r="E59" s="4" t="s">
        <v>109</v>
      </c>
    </row>
    <row r="60" spans="1:14" x14ac:dyDescent="0.25">
      <c r="B60" s="7" t="s">
        <v>87</v>
      </c>
      <c r="C60" s="4" t="s">
        <v>93</v>
      </c>
      <c r="D60" s="4" t="s">
        <v>102</v>
      </c>
      <c r="E60" s="4" t="s">
        <v>103</v>
      </c>
    </row>
    <row r="61" spans="1:14" x14ac:dyDescent="0.25">
      <c r="B61" s="7" t="s">
        <v>85</v>
      </c>
      <c r="C61" s="4" t="s">
        <v>91</v>
      </c>
      <c r="D61" s="4" t="s">
        <v>104</v>
      </c>
      <c r="E61" s="4" t="s">
        <v>105</v>
      </c>
    </row>
    <row r="62" spans="1:14" x14ac:dyDescent="0.25">
      <c r="B62" s="7" t="s">
        <v>86</v>
      </c>
      <c r="C62" s="4" t="s">
        <v>92</v>
      </c>
      <c r="D62" s="4" t="s">
        <v>98</v>
      </c>
      <c r="E62" s="4" t="s">
        <v>99</v>
      </c>
    </row>
    <row r="63" spans="1:14" x14ac:dyDescent="0.25">
      <c r="D63" s="4" t="s">
        <v>100</v>
      </c>
      <c r="E63" s="4" t="s">
        <v>101</v>
      </c>
    </row>
    <row r="64" spans="1:14" x14ac:dyDescent="0.25">
      <c r="D64" s="4" t="s">
        <v>110</v>
      </c>
      <c r="E64" s="4" t="s">
        <v>111</v>
      </c>
    </row>
    <row r="65" spans="4:5" x14ac:dyDescent="0.25">
      <c r="D65" s="4" t="s">
        <v>112</v>
      </c>
      <c r="E65" s="4" t="s">
        <v>113</v>
      </c>
    </row>
    <row r="66" spans="4:5" x14ac:dyDescent="0.25">
      <c r="D66" s="4" t="s">
        <v>114</v>
      </c>
      <c r="E66" s="4" t="s">
        <v>115</v>
      </c>
    </row>
    <row r="67" spans="4:5" x14ac:dyDescent="0.25">
      <c r="D67" s="4" t="s">
        <v>116</v>
      </c>
      <c r="E67" s="4" t="s">
        <v>117</v>
      </c>
    </row>
  </sheetData>
  <sortState xmlns:xlrd2="http://schemas.microsoft.com/office/spreadsheetml/2017/richdata2" ref="D57:E67">
    <sortCondition ref="D57:D67"/>
  </sortState>
  <conditionalFormatting sqref="M2:M53">
    <cfRule type="cellIs" dxfId="1" priority="2" operator="equal">
      <formula>"Y"</formula>
    </cfRule>
    <cfRule type="cellIs" dxfId="0" priority="1" operator="equal">
      <formula>"Not Covered"</formula>
    </cfRule>
  </conditionalFormatting>
  <pageMargins left="0.7" right="0.7" top="0.75" bottom="0.75" header="0.3" footer="0.3"/>
  <pageSetup orientation="portrait" r:id="rId1"/>
</worksheet>
</file>