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s\j-l-data-science-data-analytics\Excel\"/>
    </mc:Choice>
  </mc:AlternateContent>
  <xr:revisionPtr revIDLastSave="0" documentId="13_ncr:1_{9C1E596D-049E-4D2F-B185-083CC6FAC426}" xr6:coauthVersionLast="47" xr6:coauthVersionMax="47" xr10:uidLastSave="{00000000-0000-0000-0000-000000000000}"/>
  <bookViews>
    <workbookView xWindow="-108" yWindow="-108" windowWidth="23256" windowHeight="12456" xr2:uid="{6F1C8A56-E294-480C-BFA2-897A20BA14D1}"/>
  </bookViews>
  <sheets>
    <sheet name="Sheet1" sheetId="2" r:id="rId1"/>
    <sheet name="car inventory" sheetId="1" r:id="rId2"/>
  </sheets>
  <definedNames>
    <definedName name="_xlnm._FilterDatabase" localSheetId="1" hidden="1">'car inventory'!$A$1:$N$1</definedName>
    <definedName name="_xlnm.Print_Titles" localSheetId="1">'car inventory'!$1:$1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1" l="1"/>
  <c r="M31" i="1"/>
  <c r="M27" i="1"/>
  <c r="M26" i="1"/>
  <c r="M33" i="1"/>
  <c r="M36" i="1"/>
  <c r="M25" i="1"/>
  <c r="M18" i="1"/>
  <c r="M17" i="1"/>
  <c r="M7" i="1"/>
  <c r="M13" i="1"/>
  <c r="M3" i="1"/>
  <c r="M19" i="1"/>
  <c r="M8" i="1"/>
  <c r="M5" i="1"/>
  <c r="M23" i="1"/>
  <c r="M50" i="1"/>
  <c r="M48" i="1"/>
  <c r="M53" i="1"/>
  <c r="M52" i="1"/>
  <c r="M51" i="1"/>
  <c r="M41" i="1"/>
  <c r="M34" i="1"/>
  <c r="M39" i="1"/>
  <c r="M45" i="1"/>
  <c r="M6" i="1"/>
  <c r="M21" i="1"/>
  <c r="M10" i="1"/>
  <c r="M49" i="1"/>
  <c r="M43" i="1"/>
  <c r="M14" i="1"/>
  <c r="M24" i="1"/>
  <c r="M22" i="1"/>
  <c r="M15" i="1"/>
  <c r="M4" i="1"/>
  <c r="M38" i="1"/>
  <c r="M35" i="1"/>
  <c r="M30" i="1"/>
  <c r="M42" i="1"/>
  <c r="M2" i="1"/>
  <c r="M40" i="1"/>
  <c r="M29" i="1"/>
  <c r="M16" i="1"/>
  <c r="M47" i="1"/>
  <c r="M46" i="1"/>
  <c r="M44" i="1"/>
  <c r="M37" i="1"/>
  <c r="M20" i="1"/>
  <c r="M12" i="1"/>
  <c r="M9" i="1"/>
  <c r="M11" i="1"/>
  <c r="M28" i="1"/>
  <c r="F32" i="1"/>
  <c r="G32" i="1" s="1"/>
  <c r="I32" i="1" s="1"/>
  <c r="F31" i="1"/>
  <c r="G31" i="1" s="1"/>
  <c r="I31" i="1" s="1"/>
  <c r="F27" i="1"/>
  <c r="G27" i="1" s="1"/>
  <c r="I27" i="1" s="1"/>
  <c r="F26" i="1"/>
  <c r="G26" i="1" s="1"/>
  <c r="I26" i="1" s="1"/>
  <c r="F33" i="1"/>
  <c r="G33" i="1" s="1"/>
  <c r="I33" i="1" s="1"/>
  <c r="F36" i="1"/>
  <c r="G36" i="1" s="1"/>
  <c r="I36" i="1" s="1"/>
  <c r="F25" i="1"/>
  <c r="G25" i="1" s="1"/>
  <c r="I25" i="1" s="1"/>
  <c r="F18" i="1"/>
  <c r="G18" i="1" s="1"/>
  <c r="I18" i="1" s="1"/>
  <c r="F17" i="1"/>
  <c r="G17" i="1" s="1"/>
  <c r="I17" i="1" s="1"/>
  <c r="F7" i="1"/>
  <c r="G7" i="1" s="1"/>
  <c r="I7" i="1" s="1"/>
  <c r="F13" i="1"/>
  <c r="G13" i="1" s="1"/>
  <c r="I13" i="1" s="1"/>
  <c r="F3" i="1"/>
  <c r="G3" i="1" s="1"/>
  <c r="I3" i="1" s="1"/>
  <c r="F19" i="1"/>
  <c r="G19" i="1" s="1"/>
  <c r="I19" i="1" s="1"/>
  <c r="F8" i="1"/>
  <c r="G8" i="1" s="1"/>
  <c r="I8" i="1" s="1"/>
  <c r="F5" i="1"/>
  <c r="G5" i="1" s="1"/>
  <c r="I5" i="1" s="1"/>
  <c r="F23" i="1"/>
  <c r="G23" i="1" s="1"/>
  <c r="I23" i="1" s="1"/>
  <c r="F50" i="1"/>
  <c r="G50" i="1" s="1"/>
  <c r="I50" i="1" s="1"/>
  <c r="F48" i="1"/>
  <c r="G48" i="1" s="1"/>
  <c r="I48" i="1" s="1"/>
  <c r="F53" i="1"/>
  <c r="G53" i="1" s="1"/>
  <c r="I53" i="1" s="1"/>
  <c r="F52" i="1"/>
  <c r="G52" i="1" s="1"/>
  <c r="I52" i="1" s="1"/>
  <c r="F51" i="1"/>
  <c r="G51" i="1" s="1"/>
  <c r="I51" i="1" s="1"/>
  <c r="F41" i="1"/>
  <c r="G41" i="1" s="1"/>
  <c r="I41" i="1" s="1"/>
  <c r="F34" i="1"/>
  <c r="G34" i="1" s="1"/>
  <c r="I34" i="1" s="1"/>
  <c r="F39" i="1"/>
  <c r="G39" i="1" s="1"/>
  <c r="I39" i="1" s="1"/>
  <c r="F45" i="1"/>
  <c r="G45" i="1" s="1"/>
  <c r="I45" i="1" s="1"/>
  <c r="F6" i="1"/>
  <c r="G6" i="1" s="1"/>
  <c r="I6" i="1" s="1"/>
  <c r="F21" i="1"/>
  <c r="G21" i="1" s="1"/>
  <c r="I21" i="1" s="1"/>
  <c r="F10" i="1"/>
  <c r="G10" i="1" s="1"/>
  <c r="I10" i="1" s="1"/>
  <c r="F49" i="1"/>
  <c r="G49" i="1" s="1"/>
  <c r="I49" i="1" s="1"/>
  <c r="F43" i="1"/>
  <c r="G43" i="1" s="1"/>
  <c r="I43" i="1" s="1"/>
  <c r="F14" i="1"/>
  <c r="G14" i="1" s="1"/>
  <c r="I14" i="1" s="1"/>
  <c r="F24" i="1"/>
  <c r="G24" i="1" s="1"/>
  <c r="I24" i="1" s="1"/>
  <c r="F22" i="1"/>
  <c r="G22" i="1" s="1"/>
  <c r="I22" i="1" s="1"/>
  <c r="F15" i="1"/>
  <c r="G15" i="1" s="1"/>
  <c r="I15" i="1" s="1"/>
  <c r="F4" i="1"/>
  <c r="G4" i="1" s="1"/>
  <c r="I4" i="1" s="1"/>
  <c r="F38" i="1"/>
  <c r="G38" i="1" s="1"/>
  <c r="I38" i="1" s="1"/>
  <c r="F35" i="1"/>
  <c r="G35" i="1" s="1"/>
  <c r="I35" i="1" s="1"/>
  <c r="F30" i="1"/>
  <c r="G30" i="1" s="1"/>
  <c r="I30" i="1" s="1"/>
  <c r="F42" i="1"/>
  <c r="G42" i="1" s="1"/>
  <c r="I42" i="1" s="1"/>
  <c r="F2" i="1"/>
  <c r="G2" i="1" s="1"/>
  <c r="I2" i="1" s="1"/>
  <c r="F40" i="1"/>
  <c r="G40" i="1" s="1"/>
  <c r="I40" i="1" s="1"/>
  <c r="F29" i="1"/>
  <c r="G29" i="1" s="1"/>
  <c r="I29" i="1" s="1"/>
  <c r="F16" i="1"/>
  <c r="G16" i="1" s="1"/>
  <c r="I16" i="1" s="1"/>
  <c r="F47" i="1"/>
  <c r="G47" i="1" s="1"/>
  <c r="I47" i="1" s="1"/>
  <c r="F46" i="1"/>
  <c r="G46" i="1" s="1"/>
  <c r="I46" i="1" s="1"/>
  <c r="F44" i="1"/>
  <c r="G44" i="1" s="1"/>
  <c r="I44" i="1" s="1"/>
  <c r="F37" i="1"/>
  <c r="G37" i="1" s="1"/>
  <c r="I37" i="1" s="1"/>
  <c r="F20" i="1"/>
  <c r="G20" i="1" s="1"/>
  <c r="I20" i="1" s="1"/>
  <c r="F12" i="1"/>
  <c r="G12" i="1" s="1"/>
  <c r="I12" i="1" s="1"/>
  <c r="F9" i="1"/>
  <c r="G9" i="1" s="1"/>
  <c r="I9" i="1" s="1"/>
  <c r="F11" i="1"/>
  <c r="G11" i="1" s="1"/>
  <c r="I11" i="1" s="1"/>
  <c r="F28" i="1"/>
  <c r="G28" i="1" s="1"/>
  <c r="I28" i="1" s="1"/>
  <c r="D42" i="1"/>
  <c r="E42" i="1" s="1"/>
  <c r="D20" i="1"/>
  <c r="E20" i="1" s="1"/>
  <c r="D32" i="1"/>
  <c r="E32" i="1" s="1"/>
  <c r="D31" i="1"/>
  <c r="E31" i="1" s="1"/>
  <c r="D27" i="1"/>
  <c r="E27" i="1" s="1"/>
  <c r="D26" i="1"/>
  <c r="E26" i="1" s="1"/>
  <c r="D33" i="1"/>
  <c r="E33" i="1" s="1"/>
  <c r="D36" i="1"/>
  <c r="E36" i="1" s="1"/>
  <c r="D25" i="1"/>
  <c r="E25" i="1" s="1"/>
  <c r="D18" i="1"/>
  <c r="E18" i="1" s="1"/>
  <c r="D17" i="1"/>
  <c r="E17" i="1" s="1"/>
  <c r="D7" i="1"/>
  <c r="E7" i="1" s="1"/>
  <c r="D13" i="1"/>
  <c r="E13" i="1" s="1"/>
  <c r="D3" i="1"/>
  <c r="E3" i="1" s="1"/>
  <c r="D19" i="1"/>
  <c r="E19" i="1" s="1"/>
  <c r="D8" i="1"/>
  <c r="E8" i="1" s="1"/>
  <c r="D5" i="1"/>
  <c r="E5" i="1" s="1"/>
  <c r="D23" i="1"/>
  <c r="E23" i="1" s="1"/>
  <c r="D50" i="1"/>
  <c r="E50" i="1" s="1"/>
  <c r="D48" i="1"/>
  <c r="E48" i="1" s="1"/>
  <c r="D53" i="1"/>
  <c r="E53" i="1" s="1"/>
  <c r="D52" i="1"/>
  <c r="E52" i="1" s="1"/>
  <c r="D51" i="1"/>
  <c r="E51" i="1" s="1"/>
  <c r="D41" i="1"/>
  <c r="E41" i="1" s="1"/>
  <c r="D34" i="1"/>
  <c r="E34" i="1" s="1"/>
  <c r="D39" i="1"/>
  <c r="E39" i="1" s="1"/>
  <c r="D45" i="1"/>
  <c r="E45" i="1" s="1"/>
  <c r="D6" i="1"/>
  <c r="E6" i="1" s="1"/>
  <c r="D21" i="1"/>
  <c r="E21" i="1" s="1"/>
  <c r="D10" i="1"/>
  <c r="E10" i="1" s="1"/>
  <c r="D49" i="1"/>
  <c r="E49" i="1" s="1"/>
  <c r="D43" i="1"/>
  <c r="E43" i="1" s="1"/>
  <c r="D14" i="1"/>
  <c r="E14" i="1" s="1"/>
  <c r="D24" i="1"/>
  <c r="E24" i="1" s="1"/>
  <c r="D22" i="1"/>
  <c r="E22" i="1" s="1"/>
  <c r="D15" i="1"/>
  <c r="E15" i="1" s="1"/>
  <c r="D4" i="1"/>
  <c r="E4" i="1" s="1"/>
  <c r="D38" i="1"/>
  <c r="E38" i="1" s="1"/>
  <c r="D35" i="1"/>
  <c r="E35" i="1" s="1"/>
  <c r="D30" i="1"/>
  <c r="E30" i="1" s="1"/>
  <c r="D2" i="1"/>
  <c r="E2" i="1" s="1"/>
  <c r="D40" i="1"/>
  <c r="E40" i="1" s="1"/>
  <c r="D29" i="1"/>
  <c r="E29" i="1" s="1"/>
  <c r="D16" i="1"/>
  <c r="E16" i="1" s="1"/>
  <c r="D47" i="1"/>
  <c r="E47" i="1" s="1"/>
  <c r="D46" i="1"/>
  <c r="E46" i="1" s="1"/>
  <c r="D44" i="1"/>
  <c r="E44" i="1" s="1"/>
  <c r="D37" i="1"/>
  <c r="E37" i="1" s="1"/>
  <c r="D12" i="1"/>
  <c r="E12" i="1" s="1"/>
  <c r="D9" i="1"/>
  <c r="E9" i="1" s="1"/>
  <c r="D11" i="1"/>
  <c r="E11" i="1" s="1"/>
  <c r="D28" i="1"/>
  <c r="E28" i="1" s="1"/>
  <c r="B32" i="1"/>
  <c r="B31" i="1"/>
  <c r="B27" i="1"/>
  <c r="B26" i="1"/>
  <c r="B33" i="1"/>
  <c r="B36" i="1"/>
  <c r="B25" i="1"/>
  <c r="B18" i="1"/>
  <c r="B17" i="1"/>
  <c r="B7" i="1"/>
  <c r="B13" i="1"/>
  <c r="B3" i="1"/>
  <c r="B19" i="1"/>
  <c r="B8" i="1"/>
  <c r="B5" i="1"/>
  <c r="B23" i="1"/>
  <c r="B50" i="1"/>
  <c r="B48" i="1"/>
  <c r="B53" i="1"/>
  <c r="B52" i="1"/>
  <c r="B51" i="1"/>
  <c r="B41" i="1"/>
  <c r="B34" i="1"/>
  <c r="B39" i="1"/>
  <c r="B45" i="1"/>
  <c r="B6" i="1"/>
  <c r="B21" i="1"/>
  <c r="B10" i="1"/>
  <c r="B49" i="1"/>
  <c r="B43" i="1"/>
  <c r="B14" i="1"/>
  <c r="B24" i="1"/>
  <c r="B22" i="1"/>
  <c r="B15" i="1"/>
  <c r="B4" i="1"/>
  <c r="B38" i="1"/>
  <c r="B35" i="1"/>
  <c r="B30" i="1"/>
  <c r="B42" i="1"/>
  <c r="B2" i="1"/>
  <c r="B40" i="1"/>
  <c r="B29" i="1"/>
  <c r="B16" i="1"/>
  <c r="B47" i="1"/>
  <c r="B46" i="1"/>
  <c r="B44" i="1"/>
  <c r="B37" i="1"/>
  <c r="B20" i="1"/>
  <c r="B12" i="1"/>
  <c r="B9" i="1"/>
  <c r="B11" i="1"/>
  <c r="B28" i="1"/>
  <c r="C28" i="1" s="1"/>
  <c r="N32" i="1" l="1"/>
  <c r="C32" i="1"/>
  <c r="C31" i="1"/>
  <c r="N31" i="1"/>
  <c r="C27" i="1"/>
  <c r="N27" i="1"/>
  <c r="C26" i="1"/>
  <c r="N26" i="1"/>
  <c r="C33" i="1"/>
  <c r="N33" i="1"/>
  <c r="C36" i="1"/>
  <c r="N36" i="1"/>
  <c r="C25" i="1"/>
  <c r="N25" i="1"/>
  <c r="N18" i="1"/>
  <c r="C18" i="1"/>
  <c r="N17" i="1"/>
  <c r="C17" i="1"/>
  <c r="N7" i="1"/>
  <c r="C7" i="1"/>
  <c r="N13" i="1"/>
  <c r="C13" i="1"/>
  <c r="N3" i="1"/>
  <c r="C3" i="1"/>
  <c r="C19" i="1"/>
  <c r="N19" i="1"/>
  <c r="N8" i="1"/>
  <c r="C8" i="1"/>
  <c r="N5" i="1"/>
  <c r="C5" i="1"/>
  <c r="N23" i="1"/>
  <c r="C23" i="1"/>
  <c r="N50" i="1"/>
  <c r="C50" i="1"/>
  <c r="N48" i="1"/>
  <c r="C48" i="1"/>
  <c r="N53" i="1"/>
  <c r="C53" i="1"/>
  <c r="N52" i="1"/>
  <c r="C52" i="1"/>
  <c r="N51" i="1"/>
  <c r="C51" i="1"/>
  <c r="N41" i="1"/>
  <c r="C41" i="1"/>
  <c r="N34" i="1"/>
  <c r="C34" i="1"/>
  <c r="N39" i="1"/>
  <c r="C39" i="1"/>
  <c r="N45" i="1"/>
  <c r="C45" i="1"/>
  <c r="N6" i="1"/>
  <c r="C6" i="1"/>
  <c r="N21" i="1"/>
  <c r="C21" i="1"/>
  <c r="N10" i="1"/>
  <c r="C10" i="1"/>
  <c r="N49" i="1"/>
  <c r="C49" i="1"/>
  <c r="N43" i="1"/>
  <c r="C43" i="1"/>
  <c r="N14" i="1"/>
  <c r="C14" i="1"/>
  <c r="N24" i="1"/>
  <c r="C24" i="1"/>
  <c r="N22" i="1"/>
  <c r="C22" i="1"/>
  <c r="N15" i="1"/>
  <c r="C15" i="1"/>
  <c r="N4" i="1"/>
  <c r="C4" i="1"/>
  <c r="C38" i="1"/>
  <c r="N38" i="1"/>
  <c r="N35" i="1"/>
  <c r="C35" i="1"/>
  <c r="N30" i="1"/>
  <c r="C30" i="1"/>
  <c r="C42" i="1"/>
  <c r="N42" i="1"/>
  <c r="N2" i="1"/>
  <c r="C2" i="1"/>
  <c r="N40" i="1"/>
  <c r="C40" i="1"/>
  <c r="N29" i="1"/>
  <c r="C29" i="1"/>
  <c r="N16" i="1"/>
  <c r="C16" i="1"/>
  <c r="N47" i="1"/>
  <c r="C47" i="1"/>
  <c r="N46" i="1"/>
  <c r="C46" i="1"/>
  <c r="N44" i="1"/>
  <c r="C44" i="1"/>
  <c r="N37" i="1"/>
  <c r="C37" i="1"/>
  <c r="N20" i="1"/>
  <c r="C20" i="1"/>
  <c r="N12" i="1"/>
  <c r="C12" i="1"/>
  <c r="N9" i="1"/>
  <c r="C9" i="1"/>
  <c r="N11" i="1"/>
  <c r="C11" i="1"/>
  <c r="N28" i="1"/>
</calcChain>
</file>

<file path=xl/sharedStrings.xml><?xml version="1.0" encoding="utf-8"?>
<sst xmlns="http://schemas.openxmlformats.org/spreadsheetml/2006/main" count="224" uniqueCount="125">
  <si>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</si>
  <si>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</si>
  <si>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</si>
  <si>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</si>
  <si>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</si>
  <si>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</si>
  <si>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</si>
  <si>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</si>
  <si>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</si>
  <si>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</si>
  <si>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</si>
  <si>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</si>
  <si>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</si>
  <si>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</si>
  <si>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</si>
  <si>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</si>
  <si>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</si>
  <si>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</si>
  <si>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</si>
  <si>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</si>
  <si>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</si>
  <si>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</si>
  <si>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</si>
  <si>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</si>
  <si>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</si>
  <si>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</si>
  <si>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</si>
  <si>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</si>
  <si>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</si>
  <si>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</si>
  <si>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</si>
  <si>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</si>
  <si>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</si>
  <si>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</si>
  <si>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</si>
  <si>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</si>
  <si>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</si>
  <si>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</si>
  <si>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</si>
  <si>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</si>
  <si>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</si>
  <si>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</si>
  <si>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</si>
  <si>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</si>
  <si>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</si>
  <si>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</si>
  <si>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</si>
  <si>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</si>
  <si>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</si>
  <si>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</si>
  <si>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</si>
  <si>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</si>
  <si>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</si>
  <si>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</si>
  <si>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</si>
  <si>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</si>
  <si>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</si>
  <si>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</si>
  <si>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</si>
  <si>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</si>
  <si>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</si>
  <si>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</si>
  <si>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</si>
  <si>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</si>
  <si>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</si>
  <si>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</si>
  <si>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</si>
  <si>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</si>
  <si>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</si>
  <si>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</si>
  <si>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</si>
  <si>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</si>
  <si>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</si>
  <si>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</si>
  <si>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</si>
  <si>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</si>
  <si>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</si>
  <si>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</si>
  <si>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</si>
  <si>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</si>
  <si>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</si>
  <si>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</si>
  <si>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</si>
  <si>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</si>
  <si>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</si>
  <si>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HY</t>
  </si>
  <si>
    <t>TY</t>
  </si>
  <si>
    <t>HO</t>
  </si>
  <si>
    <t>GM</t>
  </si>
  <si>
    <t>FD</t>
  </si>
  <si>
    <t>Chrysler</t>
  </si>
  <si>
    <t>Hyndai</t>
  </si>
  <si>
    <t>Toyota</t>
  </si>
  <si>
    <t>Honda</t>
  </si>
  <si>
    <t>General Motors</t>
  </si>
  <si>
    <t>Ford</t>
  </si>
  <si>
    <t>CAM</t>
  </si>
  <si>
    <t>Camery</t>
  </si>
  <si>
    <t>ELA</t>
  </si>
  <si>
    <t>Elantra</t>
  </si>
  <si>
    <t>FCS</t>
  </si>
  <si>
    <t>Focus</t>
  </si>
  <si>
    <t>CMR</t>
  </si>
  <si>
    <t>Camero</t>
  </si>
  <si>
    <t>COR</t>
  </si>
  <si>
    <t>Corola</t>
  </si>
  <si>
    <t>CAR</t>
  </si>
  <si>
    <t>Caravan</t>
  </si>
  <si>
    <t>CIV</t>
  </si>
  <si>
    <t>Civic</t>
  </si>
  <si>
    <t>MTG</t>
  </si>
  <si>
    <t>Mustag</t>
  </si>
  <si>
    <t>ODY</t>
  </si>
  <si>
    <t>Odyssey</t>
  </si>
  <si>
    <t>PTC</t>
  </si>
  <si>
    <t>PT Cruiser</t>
  </si>
  <si>
    <t>SLV</t>
  </si>
  <si>
    <t>Silverado</t>
  </si>
  <si>
    <t>HO01ODY040</t>
  </si>
  <si>
    <t>FD06FCS006</t>
  </si>
  <si>
    <t>GM09CMR014</t>
  </si>
  <si>
    <t>HO05ODY037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</si>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</sst>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2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inventory.xlsx]Sheet1!PivotTable1</c:name>
    <c:fmtId val="0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_(* #,##0.00_);_(* \(#,##0.00\);_(* "-"??_);_(@_)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3-4626-A318-6635DA285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65745887"/>
        <c:axId val="1150556015"/>
        <c:axId val="0"/>
      </c:bar3DChart>
      <c:catAx>
        <c:axId val="116574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556015"/>
        <c:crosses val="autoZero"/>
        <c:auto val="1"/>
        <c:lblAlgn val="ctr"/>
        <c:lblOffset val="100"/>
        <c:noMultiLvlLbl val="0"/>
      </c:catAx>
      <c:valAx>
        <c:axId val="115055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74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Miles &amp; 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Miles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'car inventory'!$G$2:$G$67</c:f>
              <c:numCache>
                <c:formatCode>General</c:formatCode>
                <c:ptCount val="66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14</c:v>
                </c:pt>
                <c:pt idx="6">
                  <c:v>14</c:v>
                </c:pt>
                <c:pt idx="7">
                  <c:v>13</c:v>
                </c:pt>
                <c:pt idx="8">
                  <c:v>14</c:v>
                </c:pt>
                <c:pt idx="9">
                  <c:v>13</c:v>
                </c:pt>
                <c:pt idx="10">
                  <c:v>14</c:v>
                </c:pt>
                <c:pt idx="11">
                  <c:v>13</c:v>
                </c:pt>
                <c:pt idx="12">
                  <c:v>16</c:v>
                </c:pt>
                <c:pt idx="13">
                  <c:v>14</c:v>
                </c:pt>
                <c:pt idx="14">
                  <c:v>15</c:v>
                </c:pt>
                <c:pt idx="15">
                  <c:v>13</c:v>
                </c:pt>
                <c:pt idx="16">
                  <c:v>13</c:v>
                </c:pt>
                <c:pt idx="17">
                  <c:v>17</c:v>
                </c:pt>
                <c:pt idx="18">
                  <c:v>15</c:v>
                </c:pt>
                <c:pt idx="19">
                  <c:v>14</c:v>
                </c:pt>
                <c:pt idx="20">
                  <c:v>15</c:v>
                </c:pt>
                <c:pt idx="21">
                  <c:v>16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18</c:v>
                </c:pt>
                <c:pt idx="26">
                  <c:v>20</c:v>
                </c:pt>
                <c:pt idx="27">
                  <c:v>19</c:v>
                </c:pt>
                <c:pt idx="28">
                  <c:v>18</c:v>
                </c:pt>
                <c:pt idx="29">
                  <c:v>18</c:v>
                </c:pt>
                <c:pt idx="30">
                  <c:v>20</c:v>
                </c:pt>
                <c:pt idx="31">
                  <c:v>20</c:v>
                </c:pt>
                <c:pt idx="32">
                  <c:v>17</c:v>
                </c:pt>
                <c:pt idx="33">
                  <c:v>19</c:v>
                </c:pt>
                <c:pt idx="34">
                  <c:v>20</c:v>
                </c:pt>
                <c:pt idx="35">
                  <c:v>22</c:v>
                </c:pt>
                <c:pt idx="36">
                  <c:v>21</c:v>
                </c:pt>
                <c:pt idx="37">
                  <c:v>24</c:v>
                </c:pt>
                <c:pt idx="38">
                  <c:v>22</c:v>
                </c:pt>
                <c:pt idx="39">
                  <c:v>24</c:v>
                </c:pt>
                <c:pt idx="40">
                  <c:v>25</c:v>
                </c:pt>
                <c:pt idx="41">
                  <c:v>25</c:v>
                </c:pt>
                <c:pt idx="42">
                  <c:v>22</c:v>
                </c:pt>
                <c:pt idx="43">
                  <c:v>23</c:v>
                </c:pt>
                <c:pt idx="44">
                  <c:v>26</c:v>
                </c:pt>
                <c:pt idx="45">
                  <c:v>27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26</c:v>
                </c:pt>
                <c:pt idx="50">
                  <c:v>28</c:v>
                </c:pt>
                <c:pt idx="51">
                  <c:v>30</c:v>
                </c:pt>
              </c:numCache>
            </c:numRef>
          </c:xVal>
          <c:yVal>
            <c:numRef>
              <c:f>'car inventory'!$H$2:$H$67</c:f>
              <c:numCache>
                <c:formatCode>_(* #,##0.00_);_(* \(#,##0.00\);_(* "-"??_);_(@_)</c:formatCode>
                <c:ptCount val="66"/>
                <c:pt idx="0">
                  <c:v>3708.1</c:v>
                </c:pt>
                <c:pt idx="1">
                  <c:v>13682.9</c:v>
                </c:pt>
                <c:pt idx="2">
                  <c:v>13867.6</c:v>
                </c:pt>
                <c:pt idx="3">
                  <c:v>14289.6</c:v>
                </c:pt>
                <c:pt idx="4">
                  <c:v>17556.3</c:v>
                </c:pt>
                <c:pt idx="5">
                  <c:v>19341.7</c:v>
                </c:pt>
                <c:pt idx="6">
                  <c:v>19421.099999999999</c:v>
                </c:pt>
                <c:pt idx="7">
                  <c:v>20223.900000000001</c:v>
                </c:pt>
                <c:pt idx="8">
                  <c:v>22128.2</c:v>
                </c:pt>
                <c:pt idx="9">
                  <c:v>22188.5</c:v>
                </c:pt>
                <c:pt idx="10">
                  <c:v>22282</c:v>
                </c:pt>
                <c:pt idx="11">
                  <c:v>22521.599999999999</c:v>
                </c:pt>
                <c:pt idx="12">
                  <c:v>22573</c:v>
                </c:pt>
                <c:pt idx="13">
                  <c:v>24513.200000000001</c:v>
                </c:pt>
                <c:pt idx="14">
                  <c:v>27394.2</c:v>
                </c:pt>
                <c:pt idx="15">
                  <c:v>27534.799999999999</c:v>
                </c:pt>
                <c:pt idx="16">
                  <c:v>27637.1</c:v>
                </c:pt>
                <c:pt idx="17">
                  <c:v>28464.799999999999</c:v>
                </c:pt>
                <c:pt idx="18">
                  <c:v>29102.3</c:v>
                </c:pt>
                <c:pt idx="19">
                  <c:v>29601.9</c:v>
                </c:pt>
                <c:pt idx="20">
                  <c:v>30555.3</c:v>
                </c:pt>
                <c:pt idx="21">
                  <c:v>31144.400000000001</c:v>
                </c:pt>
                <c:pt idx="22">
                  <c:v>33477.199999999997</c:v>
                </c:pt>
                <c:pt idx="23">
                  <c:v>35137</c:v>
                </c:pt>
                <c:pt idx="24">
                  <c:v>36438.5</c:v>
                </c:pt>
                <c:pt idx="25">
                  <c:v>37558.800000000003</c:v>
                </c:pt>
                <c:pt idx="26">
                  <c:v>40326.800000000003</c:v>
                </c:pt>
                <c:pt idx="27">
                  <c:v>42074.2</c:v>
                </c:pt>
                <c:pt idx="28">
                  <c:v>42504.6</c:v>
                </c:pt>
                <c:pt idx="29">
                  <c:v>44946.5</c:v>
                </c:pt>
                <c:pt idx="30">
                  <c:v>44974.8</c:v>
                </c:pt>
                <c:pt idx="31">
                  <c:v>46311.4</c:v>
                </c:pt>
                <c:pt idx="32">
                  <c:v>48114.2</c:v>
                </c:pt>
                <c:pt idx="33">
                  <c:v>50854.1</c:v>
                </c:pt>
                <c:pt idx="34">
                  <c:v>52229.5</c:v>
                </c:pt>
                <c:pt idx="35">
                  <c:v>52699.4</c:v>
                </c:pt>
                <c:pt idx="36">
                  <c:v>60389.5</c:v>
                </c:pt>
                <c:pt idx="37">
                  <c:v>64467.4</c:v>
                </c:pt>
                <c:pt idx="38">
                  <c:v>64542</c:v>
                </c:pt>
                <c:pt idx="39">
                  <c:v>67829.100000000006</c:v>
                </c:pt>
                <c:pt idx="40">
                  <c:v>68658.899999999994</c:v>
                </c:pt>
                <c:pt idx="41">
                  <c:v>69891.899999999994</c:v>
                </c:pt>
                <c:pt idx="42">
                  <c:v>72527.199999999997</c:v>
                </c:pt>
                <c:pt idx="43">
                  <c:v>73444.399999999994</c:v>
                </c:pt>
                <c:pt idx="44">
                  <c:v>77243.100000000006</c:v>
                </c:pt>
                <c:pt idx="45">
                  <c:v>79420.600000000006</c:v>
                </c:pt>
                <c:pt idx="46">
                  <c:v>80685.8</c:v>
                </c:pt>
                <c:pt idx="47">
                  <c:v>82374</c:v>
                </c:pt>
                <c:pt idx="48">
                  <c:v>83162.7</c:v>
                </c:pt>
                <c:pt idx="49">
                  <c:v>85928</c:v>
                </c:pt>
                <c:pt idx="50">
                  <c:v>93382.6</c:v>
                </c:pt>
                <c:pt idx="51">
                  <c:v>114660.6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1A-4499-ACFC-5BDF7BDD9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200111"/>
        <c:axId val="1150556975"/>
      </c:scatterChart>
      <c:valAx>
        <c:axId val="127220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of the Car (Years)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556975"/>
        <c:crosses val="autoZero"/>
        <c:crossBetween val="midCat"/>
      </c:valAx>
      <c:valAx>
        <c:axId val="115055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 Driven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20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6</xdr:row>
      <xdr:rowOff>41910</xdr:rowOff>
    </xdr:from>
    <xdr:to>
      <xdr:col>12</xdr:col>
      <xdr:colOff>487680</xdr:colOff>
      <xdr:row>23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37251-8CB7-7CE6-1683-48A376044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60960</xdr:colOff>
      <xdr:row>1</xdr:row>
      <xdr:rowOff>171450</xdr:rowOff>
    </xdr:from>
    <xdr:to>
      <xdr:col>22</xdr:col>
      <xdr:colOff>365760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A774D-A3D8-B394-D771-9F2A2B709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US" refreshedDate="46326.73575428241" createdVersion="8" refreshedVersion="8" minRefreshableVersion="3" recordCount="52" xr:uid="{EF336E3D-25B8-4B4C-8D37-63CD18F0AC71}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12" maxValue="30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309.00833333333333" maxValue="3822.02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g"/>
    <s v="06"/>
    <n v="20"/>
    <n v="40326.800000000003"/>
    <n v="2016.3400000000001"/>
    <s v="Black"/>
    <x v="0"/>
    <n v="50000"/>
    <s v="Y"/>
    <s v="FD06MTGBLA001"/>
  </r>
  <r>
    <s v="FD06MTG002"/>
    <s v="FD"/>
    <s v="Ford"/>
    <s v="MTG"/>
    <s v="Mustag"/>
    <s v="06"/>
    <n v="20"/>
    <n v="44974.8"/>
    <n v="2248.7400000000002"/>
    <s v="White"/>
    <x v="1"/>
    <n v="50000"/>
    <s v="Y"/>
    <s v="FD06MTGWHI002"/>
  </r>
  <r>
    <s v="FD08MTG003"/>
    <s v="FD"/>
    <s v="Ford"/>
    <s v="MTG"/>
    <s v="Mustag"/>
    <s v="08"/>
    <n v="18"/>
    <n v="44946.5"/>
    <n v="2497.0277777777778"/>
    <s v="Green"/>
    <x v="2"/>
    <n v="50000"/>
    <s v="Y"/>
    <s v="FD08MTGGRE003"/>
  </r>
  <r>
    <s v="FD08MTG004"/>
    <s v="FD"/>
    <s v="Ford"/>
    <s v="MTG"/>
    <s v="Mustag"/>
    <s v="08"/>
    <n v="18"/>
    <n v="37558.800000000003"/>
    <n v="2086.6000000000004"/>
    <s v="Black"/>
    <x v="3"/>
    <n v="50000"/>
    <s v="Y"/>
    <s v="FD08MTGBLA004"/>
  </r>
  <r>
    <s v="FD08MTG005"/>
    <s v="FD"/>
    <s v="Ford"/>
    <s v="MTG"/>
    <s v="Mustag"/>
    <s v="08"/>
    <n v="18"/>
    <n v="36438.5"/>
    <n v="2024.3611111111111"/>
    <s v="White"/>
    <x v="0"/>
    <n v="50000"/>
    <s v="Y"/>
    <s v="FD08MTGWHI005"/>
  </r>
  <r>
    <s v="FD06FCS006"/>
    <s v="FD"/>
    <s v="Ford"/>
    <s v="FCS"/>
    <s v="Focus"/>
    <s v="06"/>
    <n v="20"/>
    <n v="46311.4"/>
    <n v="2315.5700000000002"/>
    <s v="Green"/>
    <x v="4"/>
    <n v="75000"/>
    <s v="Y"/>
    <s v="FD06FCSGRE006"/>
  </r>
  <r>
    <s v="FD06FCS007"/>
    <s v="FD"/>
    <s v="Ford"/>
    <s v="FCS"/>
    <s v="Focus"/>
    <s v="06"/>
    <n v="20"/>
    <n v="52229.5"/>
    <n v="2611.4749999999999"/>
    <s v="Green"/>
    <x v="2"/>
    <n v="75000"/>
    <s v="Y"/>
    <s v="FD06FCSGRE007"/>
  </r>
  <r>
    <s v="FD09FCS008"/>
    <s v="FD"/>
    <s v="Ford"/>
    <s v="FCS"/>
    <s v="Focus"/>
    <s v="09"/>
    <n v="17"/>
    <n v="35137"/>
    <n v="2066.8823529411766"/>
    <s v="Black"/>
    <x v="5"/>
    <n v="75000"/>
    <s v="Y"/>
    <s v="FD09FCSBLA008"/>
  </r>
  <r>
    <s v="FD13FCS009"/>
    <s v="FD"/>
    <s v="Ford"/>
    <s v="FCS"/>
    <s v="Focus"/>
    <s v="13"/>
    <n v="13"/>
    <n v="27637.1"/>
    <n v="2125.9307692307693"/>
    <s v="Black"/>
    <x v="0"/>
    <n v="75000"/>
    <s v="Y"/>
    <s v="FD13FCSBLA009"/>
  </r>
  <r>
    <s v="FD13FCS010"/>
    <s v="FD"/>
    <s v="Ford"/>
    <s v="FCS"/>
    <s v="Focus"/>
    <s v="13"/>
    <n v="13"/>
    <n v="27534.799999999999"/>
    <n v="2118.0615384615385"/>
    <s v="White"/>
    <x v="6"/>
    <n v="75000"/>
    <s v="Y"/>
    <s v="FD13FCSWHI010"/>
  </r>
  <r>
    <s v="FD12FCS011"/>
    <s v="FD"/>
    <s v="Ford"/>
    <s v="FCS"/>
    <s v="Focus"/>
    <s v="12"/>
    <n v="14"/>
    <n v="19341.7"/>
    <n v="1381.55"/>
    <s v="White"/>
    <x v="7"/>
    <n v="75000"/>
    <s v="Y"/>
    <s v="FD12FCSWHI011"/>
  </r>
  <r>
    <s v="FD13FCS012"/>
    <s v="FD"/>
    <s v="Ford"/>
    <s v="FCS"/>
    <s v="Focus"/>
    <s v="13"/>
    <n v="13"/>
    <n v="22521.599999999999"/>
    <n v="1732.4307692307691"/>
    <s v="Black"/>
    <x v="8"/>
    <n v="75000"/>
    <s v="Y"/>
    <s v="FD13FCSBLA012"/>
  </r>
  <r>
    <s v="FD13FCS013"/>
    <s v="FD"/>
    <s v="Ford"/>
    <s v="FCS"/>
    <s v="Focus"/>
    <s v="13"/>
    <n v="13"/>
    <n v="13682.9"/>
    <n v="1052.5307692307692"/>
    <s v="Black"/>
    <x v="9"/>
    <n v="75000"/>
    <s v="Y"/>
    <s v="FD13FCSBLA013"/>
  </r>
  <r>
    <s v="GM09CMR014"/>
    <s v="GM"/>
    <s v="General Motors"/>
    <s v="CMR"/>
    <s v="Camero"/>
    <s v="09"/>
    <n v="17"/>
    <n v="28464.799999999999"/>
    <n v="1674.3999999999999"/>
    <s v="White"/>
    <x v="10"/>
    <n v="100000"/>
    <s v="Y"/>
    <s v="GM09CMRWHI014"/>
  </r>
  <r>
    <s v="GM12CMR015"/>
    <s v="GM"/>
    <s v="General Motors"/>
    <s v="CMR"/>
    <s v="Camero"/>
    <s v="12"/>
    <n v="14"/>
    <n v="19421.099999999999"/>
    <n v="1387.2214285714285"/>
    <s v="Black"/>
    <x v="11"/>
    <n v="100000"/>
    <s v="Y"/>
    <s v="GM12CMRBLA015"/>
  </r>
  <r>
    <s v="GM14CMR016"/>
    <s v="GM"/>
    <s v="General Motors"/>
    <s v="CMR"/>
    <s v="Camero"/>
    <s v="14"/>
    <n v="12"/>
    <n v="14289.6"/>
    <n v="1190.8"/>
    <s v="White"/>
    <x v="12"/>
    <n v="100000"/>
    <s v="Y"/>
    <s v="GM14CMRWHI016"/>
  </r>
  <r>
    <s v="GM10SLV017"/>
    <s v="GM"/>
    <s v="General Motors"/>
    <s v="SLV"/>
    <s v="Silverado"/>
    <s v="10"/>
    <n v="16"/>
    <n v="31144.400000000001"/>
    <n v="1946.5250000000001"/>
    <s v="Black"/>
    <x v="13"/>
    <n v="100000"/>
    <s v="Y"/>
    <s v="GM10SLVBLA017"/>
  </r>
  <r>
    <s v="GM98SLV018"/>
    <s v="GM"/>
    <s v="General Motors"/>
    <s v="SLV"/>
    <s v="Silverado"/>
    <s v="98"/>
    <n v="28"/>
    <n v="83162.7"/>
    <n v="2970.0964285714285"/>
    <s v="Black"/>
    <x v="10"/>
    <n v="100000"/>
    <s v="Y"/>
    <s v="GM98SLVBLA018"/>
  </r>
  <r>
    <s v="GM00SLV019"/>
    <s v="GM"/>
    <s v="General Motors"/>
    <s v="SLV"/>
    <s v="Silverado"/>
    <s v="00"/>
    <n v="26"/>
    <n v="80685.8"/>
    <n v="3103.3"/>
    <s v="Blue"/>
    <x v="8"/>
    <n v="100000"/>
    <s v="Y"/>
    <s v="GM00SLVBLU019"/>
  </r>
  <r>
    <s v="TY96CAM020"/>
    <s v="TY"/>
    <s v="Toyota"/>
    <s v="CAM"/>
    <s v="Camery"/>
    <s v="96"/>
    <n v="30"/>
    <n v="114660.6"/>
    <n v="3822.02"/>
    <s v="Green"/>
    <x v="14"/>
    <n v="100000"/>
    <s v="Not Covered"/>
    <s v="TY96CAMGRE020"/>
  </r>
  <r>
    <s v="TY98CAM021"/>
    <s v="TY"/>
    <s v="Toyota"/>
    <s v="CAM"/>
    <s v="Camery"/>
    <s v="98"/>
    <n v="28"/>
    <n v="93382.6"/>
    <n v="3335.0928571428572"/>
    <s v="Black"/>
    <x v="15"/>
    <n v="100000"/>
    <s v="Y"/>
    <s v="TY98CAMBLA021"/>
  </r>
  <r>
    <s v="TY00CAM022"/>
    <s v="TY"/>
    <s v="Toyota"/>
    <s v="CAM"/>
    <s v="Camery"/>
    <s v="00"/>
    <n v="26"/>
    <n v="85928"/>
    <n v="3304.9230769230771"/>
    <s v="Green"/>
    <x v="4"/>
    <n v="100000"/>
    <s v="Y"/>
    <s v="TY00CAMGRE022"/>
  </r>
  <r>
    <s v="TY02CAM023"/>
    <s v="TY"/>
    <s v="Toyota"/>
    <s v="CAM"/>
    <s v="Camery"/>
    <s v="02"/>
    <n v="24"/>
    <n v="67829.100000000006"/>
    <n v="2826.2125000000001"/>
    <s v="Black"/>
    <x v="0"/>
    <n v="100000"/>
    <s v="Y"/>
    <s v="TY02CAMBLA023"/>
  </r>
  <r>
    <s v="TY09CAM024"/>
    <s v="TY"/>
    <s v="Toyota"/>
    <s v="CAM"/>
    <s v="Camery"/>
    <s v="09"/>
    <n v="17"/>
    <n v="48114.2"/>
    <n v="2830.2470588235292"/>
    <s v="White"/>
    <x v="5"/>
    <n v="100000"/>
    <s v="Y"/>
    <s v="TY09CAMWHI024"/>
  </r>
  <r>
    <s v="TY02COR025"/>
    <s v="TY"/>
    <s v="Toyota"/>
    <s v="COR"/>
    <s v="Corola"/>
    <s v="02"/>
    <n v="24"/>
    <n v="64467.4"/>
    <n v="2686.1416666666669"/>
    <s v="Red"/>
    <x v="16"/>
    <n v="100000"/>
    <s v="Y"/>
    <s v="TY02CORRED025"/>
  </r>
  <r>
    <s v="TY03COR026"/>
    <s v="TY"/>
    <s v="Toyota"/>
    <s v="COR"/>
    <s v="Corola"/>
    <s v="03"/>
    <n v="23"/>
    <n v="73444.399999999994"/>
    <n v="3193.2347826086952"/>
    <s v="Black"/>
    <x v="16"/>
    <n v="100000"/>
    <s v="Y"/>
    <s v="TY03CORBLA026"/>
  </r>
  <r>
    <s v="TY14COR027"/>
    <s v="TY"/>
    <s v="Toyota"/>
    <s v="COR"/>
    <s v="Corola"/>
    <s v="14"/>
    <n v="12"/>
    <n v="17556.3"/>
    <n v="1463.0249999999999"/>
    <s v="Blue"/>
    <x v="6"/>
    <n v="100000"/>
    <s v="Y"/>
    <s v="TY14CORBLU027"/>
  </r>
  <r>
    <s v="TY12COR028"/>
    <s v="TY"/>
    <s v="Toyota"/>
    <s v="COR"/>
    <s v="Corola"/>
    <s v="12"/>
    <n v="14"/>
    <n v="29601.9"/>
    <n v="2114.4214285714288"/>
    <s v="Black"/>
    <x v="10"/>
    <n v="100000"/>
    <s v="Y"/>
    <s v="TY12CORBLA028"/>
  </r>
  <r>
    <s v="TY12CAM029"/>
    <s v="TY"/>
    <s v="Toyota"/>
    <s v="CAM"/>
    <s v="Camery"/>
    <s v="12"/>
    <n v="14"/>
    <n v="22128.2"/>
    <n v="1580.5857142857144"/>
    <s v="Blue"/>
    <x v="14"/>
    <n v="100000"/>
    <s v="Y"/>
    <s v="TY12CAMBLU029"/>
  </r>
  <r>
    <s v="HO99CIV030"/>
    <s v="HO"/>
    <s v="Honda"/>
    <s v="CIV"/>
    <s v="Civic"/>
    <s v="99"/>
    <n v="27"/>
    <n v="82374"/>
    <n v="3050.8888888888887"/>
    <s v="White"/>
    <x v="9"/>
    <n v="75000"/>
    <s v="Not Covered"/>
    <s v="HO99CIVWHI030"/>
  </r>
  <r>
    <s v="HO01CIV031"/>
    <s v="HO"/>
    <s v="Honda"/>
    <s v="CIV"/>
    <s v="Civic"/>
    <s v="01"/>
    <n v="25"/>
    <n v="69891.899999999994"/>
    <n v="2795.6759999999999"/>
    <s v="Blue"/>
    <x v="3"/>
    <n v="75000"/>
    <s v="Y"/>
    <s v="HO01CIVBLU031"/>
  </r>
  <r>
    <s v="HO10CIV032"/>
    <s v="HO"/>
    <s v="Honda"/>
    <s v="CIV"/>
    <s v="Civic"/>
    <s v="10"/>
    <n v="16"/>
    <n v="22573"/>
    <n v="1410.8125"/>
    <s v="Blue"/>
    <x v="12"/>
    <n v="75000"/>
    <s v="Y"/>
    <s v="HO10CIVBLU032"/>
  </r>
  <r>
    <s v="HO10CIV033"/>
    <s v="HO"/>
    <s v="Honda"/>
    <s v="CIV"/>
    <s v="Civic"/>
    <s v="10"/>
    <n v="16"/>
    <n v="33477.199999999997"/>
    <n v="2092.3249999999998"/>
    <s v="Black"/>
    <x v="15"/>
    <n v="75000"/>
    <s v="Y"/>
    <s v="HO10CIVBLA033"/>
  </r>
  <r>
    <s v="HO11CIV034"/>
    <s v="HO"/>
    <s v="Honda"/>
    <s v="CIV"/>
    <s v="Civic"/>
    <s v="11"/>
    <n v="15"/>
    <n v="30555.3"/>
    <n v="2037.02"/>
    <s v="Black"/>
    <x v="2"/>
    <n v="75000"/>
    <s v="Y"/>
    <s v="HO11CIVBLA034"/>
  </r>
  <r>
    <s v="HO12CIV035"/>
    <s v="HO"/>
    <s v="Honda"/>
    <s v="CIV"/>
    <s v="Civic"/>
    <s v="12"/>
    <n v="14"/>
    <n v="24513.200000000001"/>
    <n v="1750.9428571428573"/>
    <s v="Black"/>
    <x v="13"/>
    <n v="75000"/>
    <s v="Y"/>
    <s v="HO12CIVBLA035"/>
  </r>
  <r>
    <s v="HO13CIV036"/>
    <s v="HO"/>
    <s v="Honda"/>
    <s v="CIV"/>
    <s v="Civic"/>
    <s v="13"/>
    <n v="13"/>
    <n v="13867.6"/>
    <n v="1066.7384615384615"/>
    <s v="Black"/>
    <x v="14"/>
    <n v="75000"/>
    <s v="Y"/>
    <s v="HO13CIVBLA036"/>
  </r>
  <r>
    <s v="HO05ODY037"/>
    <s v="HO"/>
    <s v="Honda"/>
    <s v="ODY"/>
    <s v="Odyssey"/>
    <s v="05"/>
    <n v="21"/>
    <n v="60389.5"/>
    <n v="2875.6904761904761"/>
    <s v="White"/>
    <x v="5"/>
    <n v="100000"/>
    <s v="Y"/>
    <s v="HO05ODYWHI037"/>
  </r>
  <r>
    <s v="HO07ODY038"/>
    <s v="HO"/>
    <s v="Honda"/>
    <s v="ODY"/>
    <s v="Odyssey"/>
    <s v="07"/>
    <n v="19"/>
    <n v="50854.1"/>
    <n v="2676.5315789473684"/>
    <s v="Black"/>
    <x v="15"/>
    <n v="100000"/>
    <s v="Y"/>
    <s v="HO07ODYBLA038"/>
  </r>
  <r>
    <s v="HO08ODY039"/>
    <s v="HO"/>
    <s v="Honda"/>
    <s v="ODY"/>
    <s v="Odyssey"/>
    <s v="08"/>
    <n v="18"/>
    <n v="42504.6"/>
    <n v="2361.3666666666668"/>
    <s v="White"/>
    <x v="9"/>
    <n v="100000"/>
    <s v="Y"/>
    <s v="HO08ODYWHI039"/>
  </r>
  <r>
    <s v="HO01ODY040"/>
    <s v="HO"/>
    <s v="Honda"/>
    <s v="ODY"/>
    <s v="Odyssey"/>
    <s v="01"/>
    <n v="25"/>
    <n v="68658.899999999994"/>
    <n v="2746.3559999999998"/>
    <s v="Black"/>
    <x v="0"/>
    <n v="100000"/>
    <s v="Y"/>
    <s v="HO01ODYBLA040"/>
  </r>
  <r>
    <s v="HO14ODY041"/>
    <s v="HO"/>
    <s v="Honda"/>
    <s v="ODY"/>
    <s v="Odyssey"/>
    <s v="14"/>
    <n v="12"/>
    <n v="3708.1"/>
    <n v="309.00833333333333"/>
    <s v="Black"/>
    <x v="1"/>
    <n v="100000"/>
    <s v="Y"/>
    <s v="HO14ODYBLA041"/>
  </r>
  <r>
    <s v="CR04PTC042"/>
    <s v="CR"/>
    <s v="Chrysler"/>
    <s v="PTC"/>
    <s v="PT Cruiser"/>
    <s v="04"/>
    <n v="22"/>
    <n v="64542"/>
    <n v="2933.7272727272725"/>
    <s v="Blue"/>
    <x v="0"/>
    <n v="75000"/>
    <s v="Y"/>
    <s v="CR04PTCBLU042"/>
  </r>
  <r>
    <s v="CR07PTC043"/>
    <s v="CR"/>
    <s v="Chrysler"/>
    <s v="PTC"/>
    <s v="PT Cruiser"/>
    <s v="07"/>
    <n v="19"/>
    <n v="42074.2"/>
    <n v="2214.4315789473681"/>
    <s v="Green"/>
    <x v="16"/>
    <n v="75000"/>
    <s v="Y"/>
    <s v="CR07PTCGRE043"/>
  </r>
  <r>
    <s v="CR11PTC044"/>
    <s v="CR"/>
    <s v="Chrysler"/>
    <s v="PTC"/>
    <s v="PT Cruiser"/>
    <s v="11"/>
    <n v="15"/>
    <n v="27394.2"/>
    <n v="1826.28"/>
    <s v="Black"/>
    <x v="8"/>
    <n v="75000"/>
    <s v="Y"/>
    <s v="CR11PTCBLA044"/>
  </r>
  <r>
    <s v="CR99CAR045"/>
    <s v="CR"/>
    <s v="Chrysler"/>
    <s v="CAR"/>
    <s v="Caravan"/>
    <s v="99"/>
    <n v="27"/>
    <n v="79420.600000000006"/>
    <n v="2941.5037037037041"/>
    <s v="Green"/>
    <x v="13"/>
    <n v="75000"/>
    <s v="Not Covered"/>
    <s v="CR99CARGRE045"/>
  </r>
  <r>
    <s v="CR00CAR046"/>
    <s v="CR"/>
    <s v="Chrysler"/>
    <s v="CAR"/>
    <s v="Caravan"/>
    <s v="00"/>
    <n v="26"/>
    <n v="77243.100000000006"/>
    <n v="2970.8884615384618"/>
    <s v="Black"/>
    <x v="3"/>
    <n v="75000"/>
    <s v="Not Covered"/>
    <s v="CR00CARBLA046"/>
  </r>
  <r>
    <s v="CR04CAR047"/>
    <s v="CR"/>
    <s v="Chrysler"/>
    <s v="CAR"/>
    <s v="Caravan"/>
    <s v="04"/>
    <n v="22"/>
    <n v="72527.199999999997"/>
    <n v="3296.6909090909089"/>
    <s v="White"/>
    <x v="11"/>
    <n v="75000"/>
    <s v="Y"/>
    <s v="CR04CARWHI047"/>
  </r>
  <r>
    <s v="CR04CAR048"/>
    <s v="CR"/>
    <s v="Chrysler"/>
    <s v="CAR"/>
    <s v="Caravan"/>
    <s v="04"/>
    <n v="22"/>
    <n v="52699.4"/>
    <n v="2395.4272727272728"/>
    <s v="Red"/>
    <x v="11"/>
    <n v="75000"/>
    <s v="Y"/>
    <s v="CR04CARRED048"/>
  </r>
  <r>
    <s v="HY11ELA049"/>
    <s v="HY"/>
    <s v="Hyndai"/>
    <s v="ELA"/>
    <s v="Elantra"/>
    <s v="11"/>
    <n v="15"/>
    <n v="29102.3"/>
    <n v="1940.1533333333332"/>
    <s v="Black"/>
    <x v="12"/>
    <n v="100000"/>
    <s v="Y"/>
    <s v="HY11ELABLA049"/>
  </r>
  <r>
    <s v="HY12ELA050"/>
    <s v="HY"/>
    <s v="Hyndai"/>
    <s v="ELA"/>
    <s v="Elantra"/>
    <s v="12"/>
    <n v="14"/>
    <n v="22282"/>
    <n v="1591.5714285714287"/>
    <s v="Blue"/>
    <x v="1"/>
    <n v="100000"/>
    <s v="Y"/>
    <s v="HY12ELABLU050"/>
  </r>
  <r>
    <s v="HY13ELA051"/>
    <s v="HY"/>
    <s v="Hyndai"/>
    <s v="ELA"/>
    <s v="Elantra"/>
    <s v="13"/>
    <n v="13"/>
    <n v="20223.900000000001"/>
    <n v="1555.6846153846154"/>
    <s v="Black"/>
    <x v="6"/>
    <n v="100000"/>
    <s v="Y"/>
    <s v="HY13ELABLA051"/>
  </r>
  <r>
    <s v="HY13ELA052"/>
    <s v="HY"/>
    <s v="Hyndai"/>
    <s v="ELA"/>
    <s v="Elantra"/>
    <s v="13"/>
    <n v="13"/>
    <n v="22188.5"/>
    <n v="1706.8076923076924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07D03-D66E-42C9-A003-FE6413C8288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 numFmtId="4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5015-9E9F-4B17-A3CA-FC0707E0A1DB}">
  <dimension ref="A3:B21"/>
  <sheetViews>
    <sheetView tabSelected="1" topLeftCell="A2" workbookViewId="0">
      <selection activeCell="C27" sqref="C27"/>
    </sheetView>
  </sheetViews>
  <sheetFormatPr defaultRowHeight="14.4" x14ac:dyDescent="0.3"/>
  <cols>
    <col min="1" max="1" width="12.5546875" bestFit="1" customWidth="1"/>
    <col min="2" max="2" width="13.109375" bestFit="1" customWidth="1"/>
  </cols>
  <sheetData>
    <row r="3" spans="1:2" x14ac:dyDescent="0.3">
      <c r="A3" s="10" t="s">
        <v>122</v>
      </c>
      <c r="B3" t="s">
        <v>124</v>
      </c>
    </row>
    <row r="4" spans="1:2" x14ac:dyDescent="0.3">
      <c r="A4" s="11" t="s">
        <v>41</v>
      </c>
      <c r="B4" s="12">
        <v>144647.69999999998</v>
      </c>
    </row>
    <row r="5" spans="1:2" x14ac:dyDescent="0.3">
      <c r="A5" s="11" t="s">
        <v>50</v>
      </c>
      <c r="B5" s="12">
        <v>150656.40000000002</v>
      </c>
    </row>
    <row r="6" spans="1:2" x14ac:dyDescent="0.3">
      <c r="A6" s="11" t="s">
        <v>26</v>
      </c>
      <c r="B6" s="12">
        <v>154427.9</v>
      </c>
    </row>
    <row r="7" spans="1:2" x14ac:dyDescent="0.3">
      <c r="A7" s="11" t="s">
        <v>58</v>
      </c>
      <c r="B7" s="12">
        <v>179986</v>
      </c>
    </row>
    <row r="8" spans="1:2" x14ac:dyDescent="0.3">
      <c r="A8" s="11" t="s">
        <v>29</v>
      </c>
      <c r="B8" s="12">
        <v>143640.70000000001</v>
      </c>
    </row>
    <row r="9" spans="1:2" x14ac:dyDescent="0.3">
      <c r="A9" s="11" t="s">
        <v>45</v>
      </c>
      <c r="B9" s="12">
        <v>135078.20000000001</v>
      </c>
    </row>
    <row r="10" spans="1:2" x14ac:dyDescent="0.3">
      <c r="A10" s="11" t="s">
        <v>24</v>
      </c>
      <c r="B10" s="12">
        <v>184693.8</v>
      </c>
    </row>
    <row r="11" spans="1:2" x14ac:dyDescent="0.3">
      <c r="A11" s="11" t="s">
        <v>22</v>
      </c>
      <c r="B11" s="12">
        <v>127731.3</v>
      </c>
    </row>
    <row r="12" spans="1:2" x14ac:dyDescent="0.3">
      <c r="A12" s="11" t="s">
        <v>19</v>
      </c>
      <c r="B12" s="12">
        <v>70964.899999999994</v>
      </c>
    </row>
    <row r="13" spans="1:2" x14ac:dyDescent="0.3">
      <c r="A13" s="11" t="s">
        <v>32</v>
      </c>
      <c r="B13" s="12">
        <v>65315</v>
      </c>
    </row>
    <row r="14" spans="1:2" x14ac:dyDescent="0.3">
      <c r="A14" s="11" t="s">
        <v>38</v>
      </c>
      <c r="B14" s="12">
        <v>138561.5</v>
      </c>
    </row>
    <row r="15" spans="1:2" x14ac:dyDescent="0.3">
      <c r="A15" s="11" t="s">
        <v>39</v>
      </c>
      <c r="B15" s="12">
        <v>141229.4</v>
      </c>
    </row>
    <row r="16" spans="1:2" x14ac:dyDescent="0.3">
      <c r="A16" s="11" t="s">
        <v>16</v>
      </c>
      <c r="B16" s="12">
        <v>305432.40000000002</v>
      </c>
    </row>
    <row r="17" spans="1:2" x14ac:dyDescent="0.3">
      <c r="A17" s="11" t="s">
        <v>52</v>
      </c>
      <c r="B17" s="12">
        <v>177713.9</v>
      </c>
    </row>
    <row r="18" spans="1:2" x14ac:dyDescent="0.3">
      <c r="A18" s="11" t="s">
        <v>43</v>
      </c>
      <c r="B18" s="12">
        <v>65964.899999999994</v>
      </c>
    </row>
    <row r="19" spans="1:2" x14ac:dyDescent="0.3">
      <c r="A19" s="11" t="s">
        <v>36</v>
      </c>
      <c r="B19" s="12">
        <v>130601.59999999999</v>
      </c>
    </row>
    <row r="20" spans="1:2" x14ac:dyDescent="0.3">
      <c r="A20" s="11" t="s">
        <v>34</v>
      </c>
      <c r="B20" s="12">
        <v>19341.7</v>
      </c>
    </row>
    <row r="21" spans="1:2" x14ac:dyDescent="0.3">
      <c r="A21" s="11" t="s">
        <v>123</v>
      </c>
      <c r="B21" s="12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E64A-6E35-46AF-B538-7FFA7D2A357E}">
  <sheetPr>
    <pageSetUpPr fitToPage="1"/>
  </sheetPr>
  <dimension ref="A1:N67"/>
  <sheetViews>
    <sheetView topLeftCell="E1" zoomScaleNormal="100" workbookViewId="0">
      <selection activeCell="A2" sqref="A2:N53"/>
    </sheetView>
  </sheetViews>
  <sheetFormatPr defaultRowHeight="14.4" x14ac:dyDescent="0.3"/>
  <cols>
    <col min="1" max="1" width="13.5546875" style="6" bestFit="1" customWidth="1"/>
    <col min="2" max="2" width="9.109375" style="7"/>
    <col min="3" max="3" width="11.6640625" customWidth="1"/>
    <col min="5" max="5" width="12.88671875" style="4" customWidth="1"/>
    <col min="6" max="6" width="13" customWidth="1"/>
    <col min="8" max="8" width="11.5546875" bestFit="1" customWidth="1"/>
    <col min="9" max="9" width="10.5546875" customWidth="1"/>
    <col min="10" max="10" width="11.109375" customWidth="1"/>
    <col min="11" max="11" width="12.21875" customWidth="1"/>
    <col min="12" max="12" width="9.6640625" customWidth="1"/>
    <col min="13" max="13" width="12.109375" bestFit="1" customWidth="1"/>
    <col min="14" max="14" width="16.88671875" bestFit="1" customWidth="1"/>
  </cols>
  <sheetData>
    <row r="1" spans="1:14" s="2" customFormat="1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6" t="s">
        <v>72</v>
      </c>
      <c r="B2" s="7" t="str">
        <f>LEFT(A2, 2)</f>
        <v>HO</v>
      </c>
      <c r="C2" s="5" t="str">
        <f>VLOOKUP(B2, $B$57:$C$62, 2)</f>
        <v>Honda</v>
      </c>
      <c r="D2" s="7" t="str">
        <f>MID(A2, 5, 3)</f>
        <v>ODY</v>
      </c>
      <c r="E2" s="4" t="str">
        <f>VLOOKUP(D2, D$57:E$67, 2)</f>
        <v>Odyssey</v>
      </c>
      <c r="F2" s="4" t="str">
        <f>MID(A2, 3, 2)</f>
        <v>14</v>
      </c>
      <c r="G2" s="4">
        <f>IF(26-F2&lt;0, 100-F2+26, 26-F2)</f>
        <v>12</v>
      </c>
      <c r="H2" s="8">
        <v>3708.1</v>
      </c>
      <c r="I2" s="8">
        <f>H2/G2</f>
        <v>309.00833333333333</v>
      </c>
      <c r="J2" t="s">
        <v>15</v>
      </c>
      <c r="K2" t="s">
        <v>19</v>
      </c>
      <c r="L2">
        <v>100000</v>
      </c>
      <c r="M2" s="9" t="str">
        <f>IF(H2&lt;=L2, "Y", "Not Covered")</f>
        <v>Y</v>
      </c>
      <c r="N2" s="4" t="str">
        <f>CONCATENATE(B2,F2,D2,UPPER(LEFT(J2,3)),RIGHT(A2,3))</f>
        <v>HO14ODYBLA041</v>
      </c>
    </row>
    <row r="3" spans="1:14" x14ac:dyDescent="0.3">
      <c r="A3" s="6" t="s">
        <v>37</v>
      </c>
      <c r="B3" s="7" t="str">
        <f>LEFT(A3, 2)</f>
        <v>FD</v>
      </c>
      <c r="C3" s="5" t="str">
        <f>VLOOKUP(B3, $B$57:$C$62, 2)</f>
        <v>Ford</v>
      </c>
      <c r="D3" s="7" t="str">
        <f>MID(A3, 5, 3)</f>
        <v>FCS</v>
      </c>
      <c r="E3" s="4" t="str">
        <f>VLOOKUP(D3, D$57:E$67, 2)</f>
        <v>Focus</v>
      </c>
      <c r="F3" s="4" t="str">
        <f>MID(A3, 3, 2)</f>
        <v>13</v>
      </c>
      <c r="G3" s="4">
        <f>IF(26-F3&lt;0, 100-F3+26, 26-F3)</f>
        <v>13</v>
      </c>
      <c r="H3" s="8">
        <v>13682.9</v>
      </c>
      <c r="I3" s="8">
        <f>H3/G3</f>
        <v>1052.5307692307692</v>
      </c>
      <c r="J3" t="s">
        <v>15</v>
      </c>
      <c r="K3" t="s">
        <v>38</v>
      </c>
      <c r="L3">
        <v>75000</v>
      </c>
      <c r="M3" s="9" t="str">
        <f>IF(H3&lt;=L3, "Y", "Not Covered")</f>
        <v>Y</v>
      </c>
      <c r="N3" s="4" t="str">
        <f>CONCATENATE(B3,F3,D3,UPPER(LEFT(J3,3)),RIGHT(A3,3))</f>
        <v>FD13FCSBLA013</v>
      </c>
    </row>
    <row r="4" spans="1:14" x14ac:dyDescent="0.3">
      <c r="A4" s="6" t="s">
        <v>69</v>
      </c>
      <c r="B4" s="7" t="str">
        <f>LEFT(A4, 2)</f>
        <v>HO</v>
      </c>
      <c r="C4" s="5" t="str">
        <f>VLOOKUP(B4, $B$57:$C$62, 2)</f>
        <v>Honda</v>
      </c>
      <c r="D4" s="7" t="str">
        <f>MID(A4, 5, 3)</f>
        <v>CIV</v>
      </c>
      <c r="E4" s="4" t="str">
        <f>VLOOKUP(D4, D$57:E$67, 2)</f>
        <v>Civic</v>
      </c>
      <c r="F4" s="4" t="str">
        <f>MID(A4, 3, 2)</f>
        <v>13</v>
      </c>
      <c r="G4" s="4">
        <f>IF(26-F4&lt;0, 100-F4+26, 26-F4)</f>
        <v>13</v>
      </c>
      <c r="H4" s="8">
        <v>13867.6</v>
      </c>
      <c r="I4" s="8">
        <f>H4/G4</f>
        <v>1066.7384615384615</v>
      </c>
      <c r="J4" t="s">
        <v>15</v>
      </c>
      <c r="K4" t="s">
        <v>50</v>
      </c>
      <c r="L4">
        <v>75000</v>
      </c>
      <c r="M4" s="9" t="str">
        <f>IF(H4&lt;=L4, "Y", "Not Covered")</f>
        <v>Y</v>
      </c>
      <c r="N4" s="4" t="str">
        <f>CONCATENATE(B4,F4,D4,UPPER(LEFT(J4,3)),RIGHT(A4,3))</f>
        <v>HO13CIVBLA036</v>
      </c>
    </row>
    <row r="5" spans="1:14" x14ac:dyDescent="0.3">
      <c r="A5" s="6" t="s">
        <v>42</v>
      </c>
      <c r="B5" s="7" t="str">
        <f>LEFT(A5, 2)</f>
        <v>GM</v>
      </c>
      <c r="C5" s="5" t="str">
        <f>VLOOKUP(B5, $B$57:$C$62, 2)</f>
        <v>General Motors</v>
      </c>
      <c r="D5" s="7" t="str">
        <f>MID(A5, 5, 3)</f>
        <v>CMR</v>
      </c>
      <c r="E5" s="4" t="str">
        <f>VLOOKUP(D5, D$57:E$67, 2)</f>
        <v>Camero</v>
      </c>
      <c r="F5" s="4" t="str">
        <f>MID(A5, 3, 2)</f>
        <v>14</v>
      </c>
      <c r="G5" s="4">
        <f>IF(26-F5&lt;0, 100-F5+26, 26-F5)</f>
        <v>12</v>
      </c>
      <c r="H5" s="8">
        <v>14289.6</v>
      </c>
      <c r="I5" s="8">
        <f>H5/G5</f>
        <v>1190.8</v>
      </c>
      <c r="J5" t="s">
        <v>18</v>
      </c>
      <c r="K5" t="s">
        <v>43</v>
      </c>
      <c r="L5">
        <v>100000</v>
      </c>
      <c r="M5" s="9" t="str">
        <f>IF(H5&lt;=L5, "Y", "Not Covered")</f>
        <v>Y</v>
      </c>
      <c r="N5" s="4" t="str">
        <f>CONCATENATE(B5,F5,D5,UPPER(LEFT(J5,3)),RIGHT(A5,3))</f>
        <v>GM14CMRWHI016</v>
      </c>
    </row>
    <row r="6" spans="1:14" x14ac:dyDescent="0.3">
      <c r="A6" s="6" t="s">
        <v>60</v>
      </c>
      <c r="B6" s="7" t="str">
        <f>LEFT(A6, 2)</f>
        <v>TY</v>
      </c>
      <c r="C6" s="5" t="str">
        <f>VLOOKUP(B6, $B$57:$C$62, 2)</f>
        <v>Toyota</v>
      </c>
      <c r="D6" s="7" t="str">
        <f>MID(A6, 5, 3)</f>
        <v>COR</v>
      </c>
      <c r="E6" s="4" t="str">
        <f>VLOOKUP(D6, D$57:E$67, 2)</f>
        <v>Corola</v>
      </c>
      <c r="F6" s="4" t="str">
        <f>MID(A6, 3, 2)</f>
        <v>14</v>
      </c>
      <c r="G6" s="4">
        <f>IF(26-F6&lt;0, 100-F6+26, 26-F6)</f>
        <v>12</v>
      </c>
      <c r="H6" s="8">
        <v>17556.3</v>
      </c>
      <c r="I6" s="8">
        <f>H6/G6</f>
        <v>1463.0249999999999</v>
      </c>
      <c r="J6" t="s">
        <v>48</v>
      </c>
      <c r="K6" t="s">
        <v>32</v>
      </c>
      <c r="L6">
        <v>100000</v>
      </c>
      <c r="M6" s="9" t="str">
        <f>IF(H6&lt;=L6, "Y", "Not Covered")</f>
        <v>Y</v>
      </c>
      <c r="N6" s="4" t="str">
        <f>CONCATENATE(B6,F6,D6,UPPER(LEFT(J6,3)),RIGHT(A6,3))</f>
        <v>TY14CORBLU027</v>
      </c>
    </row>
    <row r="7" spans="1:14" x14ac:dyDescent="0.3">
      <c r="A7" s="6" t="s">
        <v>33</v>
      </c>
      <c r="B7" s="7" t="str">
        <f>LEFT(A7, 2)</f>
        <v>FD</v>
      </c>
      <c r="C7" s="5" t="str">
        <f>VLOOKUP(B7, $B$57:$C$62, 2)</f>
        <v>Ford</v>
      </c>
      <c r="D7" s="7" t="str">
        <f>MID(A7, 5, 3)</f>
        <v>FCS</v>
      </c>
      <c r="E7" s="4" t="str">
        <f>VLOOKUP(D7, D$57:E$67, 2)</f>
        <v>Focus</v>
      </c>
      <c r="F7" s="4" t="str">
        <f>MID(A7, 3, 2)</f>
        <v>12</v>
      </c>
      <c r="G7" s="4">
        <f>IF(26-F7&lt;0, 100-F7+26, 26-F7)</f>
        <v>14</v>
      </c>
      <c r="H7" s="8">
        <v>19341.7</v>
      </c>
      <c r="I7" s="8">
        <f>H7/G7</f>
        <v>1381.55</v>
      </c>
      <c r="J7" t="s">
        <v>18</v>
      </c>
      <c r="K7" t="s">
        <v>34</v>
      </c>
      <c r="L7">
        <v>75000</v>
      </c>
      <c r="M7" s="9" t="str">
        <f>IF(H7&lt;=L7, "Y", "Not Covered")</f>
        <v>Y</v>
      </c>
      <c r="N7" s="4" t="str">
        <f>CONCATENATE(B7,F7,D7,UPPER(LEFT(J7,3)),RIGHT(A7,3))</f>
        <v>FD12FCSWHI011</v>
      </c>
    </row>
    <row r="8" spans="1:14" x14ac:dyDescent="0.3">
      <c r="A8" s="6" t="s">
        <v>40</v>
      </c>
      <c r="B8" s="7" t="str">
        <f>LEFT(A8, 2)</f>
        <v>GM</v>
      </c>
      <c r="C8" s="5" t="str">
        <f>VLOOKUP(B8, $B$57:$C$62, 2)</f>
        <v>General Motors</v>
      </c>
      <c r="D8" s="7" t="str">
        <f>MID(A8, 5, 3)</f>
        <v>CMR</v>
      </c>
      <c r="E8" s="4" t="str">
        <f>VLOOKUP(D8, D$57:E$67, 2)</f>
        <v>Camero</v>
      </c>
      <c r="F8" s="4" t="str">
        <f>MID(A8, 3, 2)</f>
        <v>12</v>
      </c>
      <c r="G8" s="4">
        <f>IF(26-F8&lt;0, 100-F8+26, 26-F8)</f>
        <v>14</v>
      </c>
      <c r="H8" s="8">
        <v>19421.099999999999</v>
      </c>
      <c r="I8" s="8">
        <f>H8/G8</f>
        <v>1387.2214285714285</v>
      </c>
      <c r="J8" t="s">
        <v>15</v>
      </c>
      <c r="K8" t="s">
        <v>41</v>
      </c>
      <c r="L8">
        <v>100000</v>
      </c>
      <c r="M8" s="9" t="str">
        <f>IF(H8&lt;=L8, "Y", "Not Covered")</f>
        <v>Y</v>
      </c>
      <c r="N8" s="4" t="str">
        <f>CONCATENATE(B8,F8,D8,UPPER(LEFT(J8,3)),RIGHT(A8,3))</f>
        <v>GM12CMRBLA015</v>
      </c>
    </row>
    <row r="9" spans="1:14" x14ac:dyDescent="0.3">
      <c r="A9" s="6" t="s">
        <v>82</v>
      </c>
      <c r="B9" s="7" t="str">
        <f>LEFT(A9, 2)</f>
        <v>HY</v>
      </c>
      <c r="C9" s="5" t="str">
        <f>VLOOKUP(B9, $B$57:$C$62, 2)</f>
        <v>Hyndai</v>
      </c>
      <c r="D9" s="7" t="str">
        <f>MID(A9, 5, 3)</f>
        <v>ELA</v>
      </c>
      <c r="E9" s="4" t="str">
        <f>VLOOKUP(D9, D$57:E$67, 2)</f>
        <v>Elantra</v>
      </c>
      <c r="F9" s="4" t="str">
        <f>MID(A9, 3, 2)</f>
        <v>13</v>
      </c>
      <c r="G9" s="4">
        <f>IF(26-F9&lt;0, 100-F9+26, 26-F9)</f>
        <v>13</v>
      </c>
      <c r="H9" s="8">
        <v>20223.900000000001</v>
      </c>
      <c r="I9" s="8">
        <f>H9/G9</f>
        <v>1555.6846153846154</v>
      </c>
      <c r="J9" t="s">
        <v>15</v>
      </c>
      <c r="K9" t="s">
        <v>32</v>
      </c>
      <c r="L9">
        <v>100000</v>
      </c>
      <c r="M9" s="9" t="str">
        <f>IF(H9&lt;=L9, "Y", "Not Covered")</f>
        <v>Y</v>
      </c>
      <c r="N9" s="4" t="str">
        <f>CONCATENATE(B9,F9,D9,UPPER(LEFT(J9,3)),RIGHT(A9,3))</f>
        <v>HY13ELABLA051</v>
      </c>
    </row>
    <row r="10" spans="1:14" x14ac:dyDescent="0.3">
      <c r="A10" s="6" t="s">
        <v>62</v>
      </c>
      <c r="B10" s="7" t="str">
        <f>LEFT(A10, 2)</f>
        <v>TY</v>
      </c>
      <c r="C10" s="5" t="str">
        <f>VLOOKUP(B10, $B$57:$C$62, 2)</f>
        <v>Toyota</v>
      </c>
      <c r="D10" s="7" t="str">
        <f>MID(A10, 5, 3)</f>
        <v>CAM</v>
      </c>
      <c r="E10" s="4" t="str">
        <f>VLOOKUP(D10, D$57:E$67, 2)</f>
        <v>Camery</v>
      </c>
      <c r="F10" s="4" t="str">
        <f>MID(A10, 3, 2)</f>
        <v>12</v>
      </c>
      <c r="G10" s="4">
        <f>IF(26-F10&lt;0, 100-F10+26, 26-F10)</f>
        <v>14</v>
      </c>
      <c r="H10" s="8">
        <v>22128.2</v>
      </c>
      <c r="I10" s="8">
        <f>H10/G10</f>
        <v>1580.5857142857144</v>
      </c>
      <c r="J10" t="s">
        <v>48</v>
      </c>
      <c r="K10" t="s">
        <v>50</v>
      </c>
      <c r="L10">
        <v>100000</v>
      </c>
      <c r="M10" s="9" t="str">
        <f>IF(H10&lt;=L10, "Y", "Not Covered")</f>
        <v>Y</v>
      </c>
      <c r="N10" s="4" t="str">
        <f>CONCATENATE(B10,F10,D10,UPPER(LEFT(J10,3)),RIGHT(A10,3))</f>
        <v>TY12CAMBLU029</v>
      </c>
    </row>
    <row r="11" spans="1:14" x14ac:dyDescent="0.3">
      <c r="A11" s="6" t="s">
        <v>83</v>
      </c>
      <c r="B11" s="7" t="str">
        <f>LEFT(A11, 2)</f>
        <v>HY</v>
      </c>
      <c r="C11" s="5" t="str">
        <f>VLOOKUP(B11, $B$57:$C$62, 2)</f>
        <v>Hyndai</v>
      </c>
      <c r="D11" s="7" t="str">
        <f>MID(A11, 5, 3)</f>
        <v>ELA</v>
      </c>
      <c r="E11" s="4" t="str">
        <f>VLOOKUP(D11, D$57:E$67, 2)</f>
        <v>Elantra</v>
      </c>
      <c r="F11" s="4" t="str">
        <f>MID(A11, 3, 2)</f>
        <v>13</v>
      </c>
      <c r="G11" s="4">
        <f>IF(26-F11&lt;0, 100-F11+26, 26-F11)</f>
        <v>13</v>
      </c>
      <c r="H11" s="8">
        <v>22188.5</v>
      </c>
      <c r="I11" s="8">
        <f>H11/G11</f>
        <v>1706.8076923076924</v>
      </c>
      <c r="J11" t="s">
        <v>48</v>
      </c>
      <c r="K11" t="s">
        <v>26</v>
      </c>
      <c r="L11">
        <v>100000</v>
      </c>
      <c r="M11" s="9" t="str">
        <f>IF(H11&lt;=L11, "Y", "Not Covered")</f>
        <v>Y</v>
      </c>
      <c r="N11" s="4" t="str">
        <f>CONCATENATE(B11,F11,D11,UPPER(LEFT(J11,3)),RIGHT(A11,3))</f>
        <v>HY13ELABLU052</v>
      </c>
    </row>
    <row r="12" spans="1:14" x14ac:dyDescent="0.3">
      <c r="A12" s="6" t="s">
        <v>81</v>
      </c>
      <c r="B12" s="7" t="str">
        <f>LEFT(A12, 2)</f>
        <v>HY</v>
      </c>
      <c r="C12" s="5" t="str">
        <f>VLOOKUP(B12, $B$57:$C$62, 2)</f>
        <v>Hyndai</v>
      </c>
      <c r="D12" s="7" t="str">
        <f>MID(A12, 5, 3)</f>
        <v>ELA</v>
      </c>
      <c r="E12" s="4" t="str">
        <f>VLOOKUP(D12, D$57:E$67, 2)</f>
        <v>Elantra</v>
      </c>
      <c r="F12" s="4" t="str">
        <f>MID(A12, 3, 2)</f>
        <v>12</v>
      </c>
      <c r="G12" s="4">
        <f>IF(26-F12&lt;0, 100-F12+26, 26-F12)</f>
        <v>14</v>
      </c>
      <c r="H12" s="8">
        <v>22282</v>
      </c>
      <c r="I12" s="8">
        <f>H12/G12</f>
        <v>1591.5714285714287</v>
      </c>
      <c r="J12" t="s">
        <v>48</v>
      </c>
      <c r="K12" t="s">
        <v>19</v>
      </c>
      <c r="L12">
        <v>100000</v>
      </c>
      <c r="M12" s="9" t="str">
        <f>IF(H12&lt;=L12, "Y", "Not Covered")</f>
        <v>Y</v>
      </c>
      <c r="N12" s="4" t="str">
        <f>CONCATENATE(B12,F12,D12,UPPER(LEFT(J12,3)),RIGHT(A12,3))</f>
        <v>HY12ELABLU050</v>
      </c>
    </row>
    <row r="13" spans="1:14" x14ac:dyDescent="0.3">
      <c r="A13" s="6" t="s">
        <v>35</v>
      </c>
      <c r="B13" s="7" t="str">
        <f>LEFT(A13, 2)</f>
        <v>FD</v>
      </c>
      <c r="C13" s="5" t="str">
        <f>VLOOKUP(B13, $B$57:$C$62, 2)</f>
        <v>Ford</v>
      </c>
      <c r="D13" s="7" t="str">
        <f>MID(A13, 5, 3)</f>
        <v>FCS</v>
      </c>
      <c r="E13" s="4" t="str">
        <f>VLOOKUP(D13, D$57:E$67, 2)</f>
        <v>Focus</v>
      </c>
      <c r="F13" s="4" t="str">
        <f>MID(A13, 3, 2)</f>
        <v>13</v>
      </c>
      <c r="G13" s="4">
        <f>IF(26-F13&lt;0, 100-F13+26, 26-F13)</f>
        <v>13</v>
      </c>
      <c r="H13" s="8">
        <v>22521.599999999999</v>
      </c>
      <c r="I13" s="8">
        <f>H13/G13</f>
        <v>1732.4307692307691</v>
      </c>
      <c r="J13" t="s">
        <v>15</v>
      </c>
      <c r="K13" t="s">
        <v>36</v>
      </c>
      <c r="L13">
        <v>75000</v>
      </c>
      <c r="M13" s="9" t="str">
        <f>IF(H13&lt;=L13, "Y", "Not Covered")</f>
        <v>Y</v>
      </c>
      <c r="N13" s="4" t="str">
        <f>CONCATENATE(B13,F13,D13,UPPER(LEFT(J13,3)),RIGHT(A13,3))</f>
        <v>FD13FCSBLA012</v>
      </c>
    </row>
    <row r="14" spans="1:14" x14ac:dyDescent="0.3">
      <c r="A14" s="6" t="s">
        <v>65</v>
      </c>
      <c r="B14" s="7" t="str">
        <f>LEFT(A14, 2)</f>
        <v>HO</v>
      </c>
      <c r="C14" s="5" t="str">
        <f>VLOOKUP(B14, $B$57:$C$62, 2)</f>
        <v>Honda</v>
      </c>
      <c r="D14" s="7" t="str">
        <f>MID(A14, 5, 3)</f>
        <v>CIV</v>
      </c>
      <c r="E14" s="4" t="str">
        <f>VLOOKUP(D14, D$57:E$67, 2)</f>
        <v>Civic</v>
      </c>
      <c r="F14" s="4" t="str">
        <f>MID(A14, 3, 2)</f>
        <v>10</v>
      </c>
      <c r="G14" s="4">
        <f>IF(26-F14&lt;0, 100-F14+26, 26-F14)</f>
        <v>16</v>
      </c>
      <c r="H14" s="8">
        <v>22573</v>
      </c>
      <c r="I14" s="8">
        <f>H14/G14</f>
        <v>1410.8125</v>
      </c>
      <c r="J14" t="s">
        <v>48</v>
      </c>
      <c r="K14" t="s">
        <v>43</v>
      </c>
      <c r="L14">
        <v>75000</v>
      </c>
      <c r="M14" s="9" t="str">
        <f>IF(H14&lt;=L14, "Y", "Not Covered")</f>
        <v>Y</v>
      </c>
      <c r="N14" s="4" t="str">
        <f>CONCATENATE(B14,F14,D14,UPPER(LEFT(J14,3)),RIGHT(A14,3))</f>
        <v>HO10CIVBLU032</v>
      </c>
    </row>
    <row r="15" spans="1:14" ht="28.8" x14ac:dyDescent="0.3">
      <c r="A15" s="6" t="s">
        <v>68</v>
      </c>
      <c r="B15" s="7" t="str">
        <f>LEFT(A15, 2)</f>
        <v>HO</v>
      </c>
      <c r="C15" s="5" t="str">
        <f>VLOOKUP(B15, $B$57:$C$62, 2)</f>
        <v>Honda</v>
      </c>
      <c r="D15" s="7" t="str">
        <f>MID(A15, 5, 3)</f>
        <v>CIV</v>
      </c>
      <c r="E15" s="4" t="str">
        <f>VLOOKUP(D15, D$57:E$67, 2)</f>
        <v>Civic</v>
      </c>
      <c r="F15" s="4" t="str">
        <f>MID(A15, 3, 2)</f>
        <v>12</v>
      </c>
      <c r="G15" s="4">
        <f>IF(26-F15&lt;0, 100-F15+26, 26-F15)</f>
        <v>14</v>
      </c>
      <c r="H15" s="8">
        <v>24513.200000000001</v>
      </c>
      <c r="I15" s="8">
        <f>H15/G15</f>
        <v>1750.9428571428573</v>
      </c>
      <c r="J15" t="s">
        <v>15</v>
      </c>
      <c r="K15" t="s">
        <v>45</v>
      </c>
      <c r="L15">
        <v>75000</v>
      </c>
      <c r="M15" s="9" t="str">
        <f>IF(H15&lt;=L15, "Y", "Not Covered")</f>
        <v>Y</v>
      </c>
      <c r="N15" s="4" t="str">
        <f>CONCATENATE(B15,F15,D15,UPPER(LEFT(J15,3)),RIGHT(A15,3))</f>
        <v>HO12CIVBLA035</v>
      </c>
    </row>
    <row r="16" spans="1:14" ht="28.8" x14ac:dyDescent="0.3">
      <c r="A16" s="6" t="s">
        <v>75</v>
      </c>
      <c r="B16" s="7" t="str">
        <f>LEFT(A16, 2)</f>
        <v>CR</v>
      </c>
      <c r="C16" s="5" t="str">
        <f>VLOOKUP(B16, $B$57:$C$62, 2)</f>
        <v>Chrysler</v>
      </c>
      <c r="D16" s="7" t="str">
        <f>MID(A16, 5, 3)</f>
        <v>PTC</v>
      </c>
      <c r="E16" s="4" t="str">
        <f>VLOOKUP(D16, D$57:E$67, 2)</f>
        <v>PT Cruiser</v>
      </c>
      <c r="F16" s="4" t="str">
        <f>MID(A16, 3, 2)</f>
        <v>11</v>
      </c>
      <c r="G16" s="4">
        <f>IF(26-F16&lt;0, 100-F16+26, 26-F16)</f>
        <v>15</v>
      </c>
      <c r="H16" s="8">
        <v>27394.2</v>
      </c>
      <c r="I16" s="8">
        <f>H16/G16</f>
        <v>1826.28</v>
      </c>
      <c r="J16" t="s">
        <v>15</v>
      </c>
      <c r="K16" t="s">
        <v>36</v>
      </c>
      <c r="L16">
        <v>75000</v>
      </c>
      <c r="M16" s="9" t="str">
        <f>IF(H16&lt;=L16, "Y", "Not Covered")</f>
        <v>Y</v>
      </c>
      <c r="N16" s="4" t="str">
        <f>CONCATENATE(B16,F16,D16,UPPER(LEFT(J16,3)),RIGHT(A16,3))</f>
        <v>CR11PTCBLA044</v>
      </c>
    </row>
    <row r="17" spans="1:14" ht="28.8" x14ac:dyDescent="0.3">
      <c r="A17" s="6" t="s">
        <v>31</v>
      </c>
      <c r="B17" s="7" t="str">
        <f>LEFT(A17, 2)</f>
        <v>FD</v>
      </c>
      <c r="C17" s="5" t="str">
        <f>VLOOKUP(B17, $B$57:$C$62, 2)</f>
        <v>Ford</v>
      </c>
      <c r="D17" s="7" t="str">
        <f>MID(A17, 5, 3)</f>
        <v>FCS</v>
      </c>
      <c r="E17" s="4" t="str">
        <f>VLOOKUP(D17, D$57:E$67, 2)</f>
        <v>Focus</v>
      </c>
      <c r="F17" s="4" t="str">
        <f>MID(A17, 3, 2)</f>
        <v>13</v>
      </c>
      <c r="G17" s="4">
        <f>IF(26-F17&lt;0, 100-F17+26, 26-F17)</f>
        <v>13</v>
      </c>
      <c r="H17" s="8">
        <v>27534.799999999999</v>
      </c>
      <c r="I17" s="8">
        <f>H17/G17</f>
        <v>2118.0615384615385</v>
      </c>
      <c r="J17" t="s">
        <v>18</v>
      </c>
      <c r="K17" t="s">
        <v>32</v>
      </c>
      <c r="L17">
        <v>75000</v>
      </c>
      <c r="M17" s="9" t="str">
        <f>IF(H17&lt;=L17, "Y", "Not Covered")</f>
        <v>Y</v>
      </c>
      <c r="N17" s="4" t="str">
        <f>CONCATENATE(B17,F17,D17,UPPER(LEFT(J17,3)),RIGHT(A17,3))</f>
        <v>FD13FCSWHI010</v>
      </c>
    </row>
    <row r="18" spans="1:14" ht="28.8" x14ac:dyDescent="0.3">
      <c r="A18" s="6" t="s">
        <v>30</v>
      </c>
      <c r="B18" s="7" t="str">
        <f>LEFT(A18, 2)</f>
        <v>FD</v>
      </c>
      <c r="C18" s="5" t="str">
        <f>VLOOKUP(B18, $B$57:$C$62, 2)</f>
        <v>Ford</v>
      </c>
      <c r="D18" s="7" t="str">
        <f>MID(A18, 5, 3)</f>
        <v>FCS</v>
      </c>
      <c r="E18" s="4" t="str">
        <f>VLOOKUP(D18, D$57:E$67, 2)</f>
        <v>Focus</v>
      </c>
      <c r="F18" s="4" t="str">
        <f>MID(A18, 3, 2)</f>
        <v>13</v>
      </c>
      <c r="G18" s="4">
        <f>IF(26-F18&lt;0, 100-F18+26, 26-F18)</f>
        <v>13</v>
      </c>
      <c r="H18" s="8">
        <v>27637.1</v>
      </c>
      <c r="I18" s="8">
        <f>H18/G18</f>
        <v>2125.9307692307693</v>
      </c>
      <c r="J18" t="s">
        <v>15</v>
      </c>
      <c r="K18" t="s">
        <v>16</v>
      </c>
      <c r="L18">
        <v>75000</v>
      </c>
      <c r="M18" s="9" t="str">
        <f>IF(H18&lt;=L18, "Y", "Not Covered")</f>
        <v>Y</v>
      </c>
      <c r="N18" s="4" t="str">
        <f>CONCATENATE(B18,F18,D18,UPPER(LEFT(J18,3)),RIGHT(A18,3))</f>
        <v>FD13FCSBLA009</v>
      </c>
    </row>
    <row r="19" spans="1:14" ht="28.8" x14ac:dyDescent="0.3">
      <c r="A19" s="6" t="s">
        <v>120</v>
      </c>
      <c r="B19" s="7" t="str">
        <f>LEFT(A19, 2)</f>
        <v>GM</v>
      </c>
      <c r="C19" s="5" t="str">
        <f>VLOOKUP(B19, $B$57:$C$62, 2)</f>
        <v>General Motors</v>
      </c>
      <c r="D19" s="7" t="str">
        <f>MID(A19, 5, 3)</f>
        <v>CMR</v>
      </c>
      <c r="E19" s="4" t="str">
        <f>VLOOKUP(D19, D$57:E$67, 2)</f>
        <v>Camero</v>
      </c>
      <c r="F19" s="4" t="str">
        <f>MID(A19, 3, 2)</f>
        <v>09</v>
      </c>
      <c r="G19" s="4">
        <f>IF(26-F19&lt;0, 100-F19+26, 26-F19)</f>
        <v>17</v>
      </c>
      <c r="H19" s="8">
        <v>28464.799999999999</v>
      </c>
      <c r="I19" s="8">
        <f>H19/G19</f>
        <v>1674.3999999999999</v>
      </c>
      <c r="J19" t="s">
        <v>18</v>
      </c>
      <c r="K19" t="s">
        <v>39</v>
      </c>
      <c r="L19">
        <v>100000</v>
      </c>
      <c r="M19" s="9" t="str">
        <f>IF(H19&lt;=L19, "Y", "Not Covered")</f>
        <v>Y</v>
      </c>
      <c r="N19" s="4" t="str">
        <f>CONCATENATE(B19,F19,D19,UPPER(LEFT(J19,3)),RIGHT(A19,3))</f>
        <v>GM09CMRWHI014</v>
      </c>
    </row>
    <row r="20" spans="1:14" ht="28.8" x14ac:dyDescent="0.3">
      <c r="A20" s="6" t="s">
        <v>80</v>
      </c>
      <c r="B20" s="7" t="str">
        <f>LEFT(A20, 2)</f>
        <v>HY</v>
      </c>
      <c r="C20" s="5" t="str">
        <f>VLOOKUP(B20, $B$57:$C$62, 2)</f>
        <v>Hyndai</v>
      </c>
      <c r="D20" s="7" t="str">
        <f>MID(A20, 5, 3)</f>
        <v>ELA</v>
      </c>
      <c r="E20" s="4" t="str">
        <f>VLOOKUP(D20, D$57:E$67, 2)</f>
        <v>Elantra</v>
      </c>
      <c r="F20" s="4" t="str">
        <f>MID(A20, 3, 2)</f>
        <v>11</v>
      </c>
      <c r="G20" s="4">
        <f>IF(26-F20&lt;0, 100-F20+26, 26-F20)</f>
        <v>15</v>
      </c>
      <c r="H20" s="8">
        <v>29102.3</v>
      </c>
      <c r="I20" s="8">
        <f>H20/G20</f>
        <v>1940.1533333333332</v>
      </c>
      <c r="J20" t="s">
        <v>15</v>
      </c>
      <c r="K20" t="s">
        <v>43</v>
      </c>
      <c r="L20">
        <v>100000</v>
      </c>
      <c r="M20" s="9" t="str">
        <f>IF(H20&lt;=L20, "Y", "Not Covered")</f>
        <v>Y</v>
      </c>
      <c r="N20" s="4" t="str">
        <f>CONCATENATE(B20,F20,D20,UPPER(LEFT(J20,3)),RIGHT(A20,3))</f>
        <v>HY11ELABLA049</v>
      </c>
    </row>
    <row r="21" spans="1:14" x14ac:dyDescent="0.3">
      <c r="A21" s="6" t="s">
        <v>61</v>
      </c>
      <c r="B21" s="7" t="str">
        <f>LEFT(A21, 2)</f>
        <v>TY</v>
      </c>
      <c r="C21" s="5" t="str">
        <f>VLOOKUP(B21, $B$57:$C$62, 2)</f>
        <v>Toyota</v>
      </c>
      <c r="D21" s="7" t="str">
        <f>MID(A21, 5, 3)</f>
        <v>COR</v>
      </c>
      <c r="E21" s="4" t="str">
        <f>VLOOKUP(D21, D$57:E$67, 2)</f>
        <v>Corola</v>
      </c>
      <c r="F21" s="4" t="str">
        <f>MID(A21, 3, 2)</f>
        <v>12</v>
      </c>
      <c r="G21" s="4">
        <f>IF(26-F21&lt;0, 100-F21+26, 26-F21)</f>
        <v>14</v>
      </c>
      <c r="H21" s="8">
        <v>29601.9</v>
      </c>
      <c r="I21" s="8">
        <f>H21/G21</f>
        <v>2114.4214285714288</v>
      </c>
      <c r="J21" t="s">
        <v>15</v>
      </c>
      <c r="K21" t="s">
        <v>39</v>
      </c>
      <c r="L21">
        <v>100000</v>
      </c>
      <c r="M21" s="9" t="str">
        <f>IF(H21&lt;=L21, "Y", "Not Covered")</f>
        <v>Y</v>
      </c>
      <c r="N21" s="4" t="str">
        <f>CONCATENATE(B21,F21,D21,UPPER(LEFT(J21,3)),RIGHT(A21,3))</f>
        <v>TY12CORBLA028</v>
      </c>
    </row>
    <row r="22" spans="1:14" x14ac:dyDescent="0.3">
      <c r="A22" s="6" t="s">
        <v>67</v>
      </c>
      <c r="B22" s="7" t="str">
        <f>LEFT(A22, 2)</f>
        <v>HO</v>
      </c>
      <c r="C22" s="5" t="str">
        <f>VLOOKUP(B22, $B$57:$C$62, 2)</f>
        <v>Honda</v>
      </c>
      <c r="D22" s="7" t="str">
        <f>MID(A22, 5, 3)</f>
        <v>CIV</v>
      </c>
      <c r="E22" s="4" t="str">
        <f>VLOOKUP(D22, D$57:E$67, 2)</f>
        <v>Civic</v>
      </c>
      <c r="F22" s="4" t="str">
        <f>MID(A22, 3, 2)</f>
        <v>11</v>
      </c>
      <c r="G22" s="4">
        <f>IF(26-F22&lt;0, 100-F22+26, 26-F22)</f>
        <v>15</v>
      </c>
      <c r="H22" s="8">
        <v>30555.3</v>
      </c>
      <c r="I22" s="8">
        <f>H22/G22</f>
        <v>2037.02</v>
      </c>
      <c r="J22" t="s">
        <v>15</v>
      </c>
      <c r="K22" t="s">
        <v>22</v>
      </c>
      <c r="L22">
        <v>75000</v>
      </c>
      <c r="M22" s="9" t="str">
        <f>IF(H22&lt;=L22, "Y", "Not Covered")</f>
        <v>Y</v>
      </c>
      <c r="N22" s="4" t="str">
        <f>CONCATENATE(B22,F22,D22,UPPER(LEFT(J22,3)),RIGHT(A22,3))</f>
        <v>HO11CIVBLA034</v>
      </c>
    </row>
    <row r="23" spans="1:14" x14ac:dyDescent="0.3">
      <c r="A23" s="6" t="s">
        <v>44</v>
      </c>
      <c r="B23" s="7" t="str">
        <f>LEFT(A23, 2)</f>
        <v>GM</v>
      </c>
      <c r="C23" s="5" t="str">
        <f>VLOOKUP(B23, $B$57:$C$62, 2)</f>
        <v>General Motors</v>
      </c>
      <c r="D23" s="7" t="str">
        <f>MID(A23, 5, 3)</f>
        <v>SLV</v>
      </c>
      <c r="E23" s="4" t="str">
        <f>VLOOKUP(D23, D$57:E$67, 2)</f>
        <v>Silverado</v>
      </c>
      <c r="F23" s="4" t="str">
        <f>MID(A23, 3, 2)</f>
        <v>10</v>
      </c>
      <c r="G23" s="4">
        <f>IF(26-F23&lt;0, 100-F23+26, 26-F23)</f>
        <v>16</v>
      </c>
      <c r="H23" s="8">
        <v>31144.400000000001</v>
      </c>
      <c r="I23" s="8">
        <f>H23/G23</f>
        <v>1946.5250000000001</v>
      </c>
      <c r="J23" t="s">
        <v>15</v>
      </c>
      <c r="K23" t="s">
        <v>45</v>
      </c>
      <c r="L23">
        <v>100000</v>
      </c>
      <c r="M23" s="9" t="str">
        <f>IF(H23&lt;=L23, "Y", "Not Covered")</f>
        <v>Y</v>
      </c>
      <c r="N23" s="4" t="str">
        <f>CONCATENATE(B23,F23,D23,UPPER(LEFT(J23,3)),RIGHT(A23,3))</f>
        <v>GM10SLVBLA017</v>
      </c>
    </row>
    <row r="24" spans="1:14" x14ac:dyDescent="0.3">
      <c r="A24" s="6" t="s">
        <v>66</v>
      </c>
      <c r="B24" s="7" t="str">
        <f>LEFT(A24, 2)</f>
        <v>HO</v>
      </c>
      <c r="C24" s="5" t="str">
        <f>VLOOKUP(B24, $B$57:$C$62, 2)</f>
        <v>Honda</v>
      </c>
      <c r="D24" s="7" t="str">
        <f>MID(A24, 5, 3)</f>
        <v>CIV</v>
      </c>
      <c r="E24" s="4" t="str">
        <f>VLOOKUP(D24, D$57:E$67, 2)</f>
        <v>Civic</v>
      </c>
      <c r="F24" s="4" t="str">
        <f>MID(A24, 3, 2)</f>
        <v>10</v>
      </c>
      <c r="G24" s="4">
        <f>IF(26-F24&lt;0, 100-F24+26, 26-F24)</f>
        <v>16</v>
      </c>
      <c r="H24" s="8">
        <v>33477.199999999997</v>
      </c>
      <c r="I24" s="8">
        <f>H24/G24</f>
        <v>2092.3249999999998</v>
      </c>
      <c r="J24" t="s">
        <v>15</v>
      </c>
      <c r="K24" t="s">
        <v>52</v>
      </c>
      <c r="L24">
        <v>75000</v>
      </c>
      <c r="M24" s="9" t="str">
        <f>IF(H24&lt;=L24, "Y", "Not Covered")</f>
        <v>Y</v>
      </c>
      <c r="N24" s="4" t="str">
        <f>CONCATENATE(B24,F24,D24,UPPER(LEFT(J24,3)),RIGHT(A24,3))</f>
        <v>HO10CIVBLA033</v>
      </c>
    </row>
    <row r="25" spans="1:14" x14ac:dyDescent="0.3">
      <c r="A25" s="6" t="s">
        <v>28</v>
      </c>
      <c r="B25" s="7" t="str">
        <f>LEFT(A25, 2)</f>
        <v>FD</v>
      </c>
      <c r="C25" s="5" t="str">
        <f>VLOOKUP(B25, $B$57:$C$62, 2)</f>
        <v>Ford</v>
      </c>
      <c r="D25" s="7" t="str">
        <f>MID(A25, 5, 3)</f>
        <v>FCS</v>
      </c>
      <c r="E25" s="4" t="str">
        <f>VLOOKUP(D25, D$57:E$67, 2)</f>
        <v>Focus</v>
      </c>
      <c r="F25" s="4" t="str">
        <f>MID(A25, 3, 2)</f>
        <v>09</v>
      </c>
      <c r="G25" s="4">
        <f>IF(26-F25&lt;0, 100-F25+26, 26-F25)</f>
        <v>17</v>
      </c>
      <c r="H25" s="8">
        <v>35137</v>
      </c>
      <c r="I25" s="8">
        <f>H25/G25</f>
        <v>2066.8823529411766</v>
      </c>
      <c r="J25" t="s">
        <v>15</v>
      </c>
      <c r="K25" t="s">
        <v>29</v>
      </c>
      <c r="L25">
        <v>75000</v>
      </c>
      <c r="M25" s="9" t="str">
        <f>IF(H25&lt;=L25, "Y", "Not Covered")</f>
        <v>Y</v>
      </c>
      <c r="N25" s="4" t="str">
        <f>CONCATENATE(B25,F25,D25,UPPER(LEFT(J25,3)),RIGHT(A25,3))</f>
        <v>FD09FCSBLA008</v>
      </c>
    </row>
    <row r="26" spans="1:14" x14ac:dyDescent="0.3">
      <c r="A26" s="6" t="s">
        <v>25</v>
      </c>
      <c r="B26" s="7" t="str">
        <f>LEFT(A26, 2)</f>
        <v>FD</v>
      </c>
      <c r="C26" s="5" t="str">
        <f>VLOOKUP(B26, $B$57:$C$62, 2)</f>
        <v>Ford</v>
      </c>
      <c r="D26" s="7" t="str">
        <f>MID(A26, 5, 3)</f>
        <v>MTG</v>
      </c>
      <c r="E26" s="4" t="str">
        <f>VLOOKUP(D26, D$57:E$67, 2)</f>
        <v>Mustag</v>
      </c>
      <c r="F26" s="4" t="str">
        <f>MID(A26, 3, 2)</f>
        <v>08</v>
      </c>
      <c r="G26" s="4">
        <f>IF(26-F26&lt;0, 100-F26+26, 26-F26)</f>
        <v>18</v>
      </c>
      <c r="H26" s="8">
        <v>36438.5</v>
      </c>
      <c r="I26" s="8">
        <f>H26/G26</f>
        <v>2024.3611111111111</v>
      </c>
      <c r="J26" t="s">
        <v>18</v>
      </c>
      <c r="K26" t="s">
        <v>16</v>
      </c>
      <c r="L26">
        <v>50000</v>
      </c>
      <c r="M26" s="9" t="str">
        <f>IF(H26&lt;=L26, "Y", "Not Covered")</f>
        <v>Y</v>
      </c>
      <c r="N26" s="4" t="str">
        <f>CONCATENATE(B26,F26,D26,UPPER(LEFT(J26,3)),RIGHT(A26,3))</f>
        <v>FD08MTGWHI005</v>
      </c>
    </row>
    <row r="27" spans="1:14" x14ac:dyDescent="0.3">
      <c r="A27" s="6" t="s">
        <v>23</v>
      </c>
      <c r="B27" s="7" t="str">
        <f>LEFT(A27, 2)</f>
        <v>FD</v>
      </c>
      <c r="C27" s="5" t="str">
        <f>VLOOKUP(B27, $B$57:$C$62, 2)</f>
        <v>Ford</v>
      </c>
      <c r="D27" s="7" t="str">
        <f>MID(A27, 5, 3)</f>
        <v>MTG</v>
      </c>
      <c r="E27" s="4" t="str">
        <f>VLOOKUP(D27, D$57:E$67, 2)</f>
        <v>Mustag</v>
      </c>
      <c r="F27" s="4" t="str">
        <f>MID(A27, 3, 2)</f>
        <v>08</v>
      </c>
      <c r="G27" s="4">
        <f>IF(26-F27&lt;0, 100-F27+26, 26-F27)</f>
        <v>18</v>
      </c>
      <c r="H27" s="8">
        <v>37558.800000000003</v>
      </c>
      <c r="I27" s="8">
        <f>H27/G27</f>
        <v>2086.6000000000004</v>
      </c>
      <c r="J27" t="s">
        <v>15</v>
      </c>
      <c r="K27" t="s">
        <v>24</v>
      </c>
      <c r="L27">
        <v>50000</v>
      </c>
      <c r="M27" s="9" t="str">
        <f>IF(H27&lt;=L27, "Y", "Not Covered")</f>
        <v>Y</v>
      </c>
      <c r="N27" s="4" t="str">
        <f>CONCATENATE(B27,F27,D27,UPPER(LEFT(J27,3)),RIGHT(A27,3))</f>
        <v>FD08MTGBLA004</v>
      </c>
    </row>
    <row r="28" spans="1:14" x14ac:dyDescent="0.3">
      <c r="A28" s="6" t="s">
        <v>14</v>
      </c>
      <c r="B28" s="7" t="str">
        <f>LEFT(A28, 2)</f>
        <v>FD</v>
      </c>
      <c r="C28" s="5" t="str">
        <f>VLOOKUP(B28, $B$57:$C$62, 2)</f>
        <v>Ford</v>
      </c>
      <c r="D28" s="7" t="str">
        <f>MID(A28, 5, 3)</f>
        <v>MTG</v>
      </c>
      <c r="E28" s="4" t="str">
        <f>VLOOKUP(D28, D$57:E$67, 2)</f>
        <v>Mustag</v>
      </c>
      <c r="F28" s="4" t="str">
        <f>MID(A28, 3, 2)</f>
        <v>06</v>
      </c>
      <c r="G28" s="4">
        <f>IF(26-F28&lt;0, 100-F28+26, 26-F28)</f>
        <v>20</v>
      </c>
      <c r="H28" s="8">
        <v>40326.800000000003</v>
      </c>
      <c r="I28" s="8">
        <f>H28/G28</f>
        <v>2016.3400000000001</v>
      </c>
      <c r="J28" t="s">
        <v>15</v>
      </c>
      <c r="K28" t="s">
        <v>16</v>
      </c>
      <c r="L28">
        <v>50000</v>
      </c>
      <c r="M28" s="9" t="str">
        <f>IF(H28&lt;=L28, "Y", "Not Covered")</f>
        <v>Y</v>
      </c>
      <c r="N28" s="4" t="str">
        <f>CONCATENATE(B28,F28,D28,UPPER(LEFT(J28,3)),RIGHT(A28,3))</f>
        <v>FD06MTGBLA001</v>
      </c>
    </row>
    <row r="29" spans="1:14" x14ac:dyDescent="0.3">
      <c r="A29" s="6" t="s">
        <v>74</v>
      </c>
      <c r="B29" s="7" t="str">
        <f>LEFT(A29, 2)</f>
        <v>CR</v>
      </c>
      <c r="C29" s="5" t="str">
        <f>VLOOKUP(B29, $B$57:$C$62, 2)</f>
        <v>Chrysler</v>
      </c>
      <c r="D29" s="7" t="str">
        <f>MID(A29, 5, 3)</f>
        <v>PTC</v>
      </c>
      <c r="E29" s="4" t="str">
        <f>VLOOKUP(D29, D$57:E$67, 2)</f>
        <v>PT Cruiser</v>
      </c>
      <c r="F29" s="4" t="str">
        <f>MID(A29, 3, 2)</f>
        <v>07</v>
      </c>
      <c r="G29" s="4">
        <f>IF(26-F29&lt;0, 100-F29+26, 26-F29)</f>
        <v>19</v>
      </c>
      <c r="H29" s="8">
        <v>42074.2</v>
      </c>
      <c r="I29" s="8">
        <f>H29/G29</f>
        <v>2214.4315789473681</v>
      </c>
      <c r="J29" t="s">
        <v>21</v>
      </c>
      <c r="K29" t="s">
        <v>58</v>
      </c>
      <c r="L29">
        <v>75000</v>
      </c>
      <c r="M29" s="9" t="str">
        <f>IF(H29&lt;=L29, "Y", "Not Covered")</f>
        <v>Y</v>
      </c>
      <c r="N29" s="4" t="str">
        <f>CONCATENATE(B29,F29,D29,UPPER(LEFT(J29,3)),RIGHT(A29,3))</f>
        <v>CR07PTCGRE043</v>
      </c>
    </row>
    <row r="30" spans="1:14" x14ac:dyDescent="0.3">
      <c r="A30" s="6" t="s">
        <v>71</v>
      </c>
      <c r="B30" s="7" t="str">
        <f>LEFT(A30, 2)</f>
        <v>HO</v>
      </c>
      <c r="C30" s="5" t="str">
        <f>VLOOKUP(B30, $B$57:$C$62, 2)</f>
        <v>Honda</v>
      </c>
      <c r="D30" s="7" t="str">
        <f>MID(A30, 5, 3)</f>
        <v>ODY</v>
      </c>
      <c r="E30" s="4" t="str">
        <f>VLOOKUP(D30, D$57:E$67, 2)</f>
        <v>Odyssey</v>
      </c>
      <c r="F30" s="4" t="str">
        <f>MID(A30, 3, 2)</f>
        <v>08</v>
      </c>
      <c r="G30" s="4">
        <f>IF(26-F30&lt;0, 100-F30+26, 26-F30)</f>
        <v>18</v>
      </c>
      <c r="H30" s="8">
        <v>42504.6</v>
      </c>
      <c r="I30" s="8">
        <f>H30/G30</f>
        <v>2361.3666666666668</v>
      </c>
      <c r="J30" t="s">
        <v>18</v>
      </c>
      <c r="K30" t="s">
        <v>38</v>
      </c>
      <c r="L30">
        <v>100000</v>
      </c>
      <c r="M30" s="9" t="str">
        <f>IF(H30&lt;=L30, "Y", "Not Covered")</f>
        <v>Y</v>
      </c>
      <c r="N30" s="4" t="str">
        <f>CONCATENATE(B30,F30,D30,UPPER(LEFT(J30,3)),RIGHT(A30,3))</f>
        <v>HO08ODYWHI039</v>
      </c>
    </row>
    <row r="31" spans="1:14" x14ac:dyDescent="0.3">
      <c r="A31" s="6" t="s">
        <v>20</v>
      </c>
      <c r="B31" s="7" t="str">
        <f>LEFT(A31, 2)</f>
        <v>FD</v>
      </c>
      <c r="C31" s="5" t="str">
        <f>VLOOKUP(B31, $B$57:$C$62, 2)</f>
        <v>Ford</v>
      </c>
      <c r="D31" s="7" t="str">
        <f>MID(A31, 5, 3)</f>
        <v>MTG</v>
      </c>
      <c r="E31" s="4" t="str">
        <f>VLOOKUP(D31, D$57:E$67, 2)</f>
        <v>Mustag</v>
      </c>
      <c r="F31" s="4" t="str">
        <f>MID(A31, 3, 2)</f>
        <v>08</v>
      </c>
      <c r="G31" s="4">
        <f>IF(26-F31&lt;0, 100-F31+26, 26-F31)</f>
        <v>18</v>
      </c>
      <c r="H31" s="8">
        <v>44946.5</v>
      </c>
      <c r="I31" s="8">
        <f>H31/G31</f>
        <v>2497.0277777777778</v>
      </c>
      <c r="J31" t="s">
        <v>21</v>
      </c>
      <c r="K31" t="s">
        <v>22</v>
      </c>
      <c r="L31">
        <v>50000</v>
      </c>
      <c r="M31" s="9" t="str">
        <f>IF(H31&lt;=L31, "Y", "Not Covered")</f>
        <v>Y</v>
      </c>
      <c r="N31" s="4" t="str">
        <f>CONCATENATE(B31,F31,D31,UPPER(LEFT(J31,3)),RIGHT(A31,3))</f>
        <v>FD08MTGGRE003</v>
      </c>
    </row>
    <row r="32" spans="1:14" x14ac:dyDescent="0.3">
      <c r="A32" s="6" t="s">
        <v>17</v>
      </c>
      <c r="B32" s="7" t="str">
        <f>LEFT(A32, 2)</f>
        <v>FD</v>
      </c>
      <c r="C32" s="5" t="str">
        <f>VLOOKUP(B32, $B$57:$C$62, 2)</f>
        <v>Ford</v>
      </c>
      <c r="D32" s="7" t="str">
        <f>MID(A32, 5, 3)</f>
        <v>MTG</v>
      </c>
      <c r="E32" s="4" t="str">
        <f>VLOOKUP(D32, D$57:E$67, 2)</f>
        <v>Mustag</v>
      </c>
      <c r="F32" s="4" t="str">
        <f>MID(A32, 3, 2)</f>
        <v>06</v>
      </c>
      <c r="G32" s="4">
        <f>IF(26-F32&lt;0, 100-F32+26, 26-F32)</f>
        <v>20</v>
      </c>
      <c r="H32" s="8">
        <v>44974.8</v>
      </c>
      <c r="I32" s="8">
        <f>H32/G32</f>
        <v>2248.7400000000002</v>
      </c>
      <c r="J32" t="s">
        <v>18</v>
      </c>
      <c r="K32" t="s">
        <v>19</v>
      </c>
      <c r="L32">
        <v>50000</v>
      </c>
      <c r="M32" s="9" t="str">
        <f>IF(H32&lt;=L32, "Y", "Not Covered")</f>
        <v>Y</v>
      </c>
      <c r="N32" s="4" t="str">
        <f>CONCATENATE(B32,F32,D32,UPPER(LEFT(J32,3)),RIGHT(A32,3))</f>
        <v>FD06MTGWHI002</v>
      </c>
    </row>
    <row r="33" spans="1:14" x14ac:dyDescent="0.3">
      <c r="A33" s="6" t="s">
        <v>119</v>
      </c>
      <c r="B33" s="7" t="str">
        <f>LEFT(A33, 2)</f>
        <v>FD</v>
      </c>
      <c r="C33" s="5" t="str">
        <f>VLOOKUP(B33, $B$57:$C$62, 2)</f>
        <v>Ford</v>
      </c>
      <c r="D33" s="7" t="str">
        <f>MID(A33, 5, 3)</f>
        <v>FCS</v>
      </c>
      <c r="E33" s="4" t="str">
        <f>VLOOKUP(D33, D$57:E$67, 2)</f>
        <v>Focus</v>
      </c>
      <c r="F33" s="4" t="str">
        <f>MID(A33, 3, 2)</f>
        <v>06</v>
      </c>
      <c r="G33" s="4">
        <f>IF(26-F33&lt;0, 100-F33+26, 26-F33)</f>
        <v>20</v>
      </c>
      <c r="H33" s="8">
        <v>46311.4</v>
      </c>
      <c r="I33" s="8">
        <f>H33/G33</f>
        <v>2315.5700000000002</v>
      </c>
      <c r="J33" t="s">
        <v>21</v>
      </c>
      <c r="K33" t="s">
        <v>26</v>
      </c>
      <c r="L33">
        <v>75000</v>
      </c>
      <c r="M33" s="9" t="str">
        <f>IF(H33&lt;=L33, "Y", "Not Covered")</f>
        <v>Y</v>
      </c>
      <c r="N33" s="4" t="str">
        <f>CONCATENATE(B33,F33,D33,UPPER(LEFT(J33,3)),RIGHT(A33,3))</f>
        <v>FD06FCSGRE006</v>
      </c>
    </row>
    <row r="34" spans="1:14" x14ac:dyDescent="0.3">
      <c r="A34" s="6" t="s">
        <v>55</v>
      </c>
      <c r="B34" s="7" t="str">
        <f>LEFT(A34, 2)</f>
        <v>TY</v>
      </c>
      <c r="C34" s="5" t="str">
        <f>VLOOKUP(B34, $B$57:$C$62, 2)</f>
        <v>Toyota</v>
      </c>
      <c r="D34" s="7" t="str">
        <f>MID(A34, 5, 3)</f>
        <v>CAM</v>
      </c>
      <c r="E34" s="4" t="str">
        <f>VLOOKUP(D34, D$57:E$67, 2)</f>
        <v>Camery</v>
      </c>
      <c r="F34" s="4" t="str">
        <f>MID(A34, 3, 2)</f>
        <v>09</v>
      </c>
      <c r="G34" s="4">
        <f>IF(26-F34&lt;0, 100-F34+26, 26-F34)</f>
        <v>17</v>
      </c>
      <c r="H34" s="8">
        <v>48114.2</v>
      </c>
      <c r="I34" s="8">
        <f>H34/G34</f>
        <v>2830.2470588235292</v>
      </c>
      <c r="J34" t="s">
        <v>18</v>
      </c>
      <c r="K34" t="s">
        <v>29</v>
      </c>
      <c r="L34">
        <v>100000</v>
      </c>
      <c r="M34" s="9" t="str">
        <f>IF(H34&lt;=L34, "Y", "Not Covered")</f>
        <v>Y</v>
      </c>
      <c r="N34" s="4" t="str">
        <f>CONCATENATE(B34,F34,D34,UPPER(LEFT(J34,3)),RIGHT(A34,3))</f>
        <v>TY09CAMWHI024</v>
      </c>
    </row>
    <row r="35" spans="1:14" x14ac:dyDescent="0.3">
      <c r="A35" s="6" t="s">
        <v>70</v>
      </c>
      <c r="B35" s="7" t="str">
        <f>LEFT(A35, 2)</f>
        <v>HO</v>
      </c>
      <c r="C35" s="5" t="str">
        <f>VLOOKUP(B35, $B$57:$C$62, 2)</f>
        <v>Honda</v>
      </c>
      <c r="D35" s="7" t="str">
        <f>MID(A35, 5, 3)</f>
        <v>ODY</v>
      </c>
      <c r="E35" s="4" t="str">
        <f>VLOOKUP(D35, D$57:E$67, 2)</f>
        <v>Odyssey</v>
      </c>
      <c r="F35" s="4" t="str">
        <f>MID(A35, 3, 2)</f>
        <v>07</v>
      </c>
      <c r="G35" s="4">
        <f>IF(26-F35&lt;0, 100-F35+26, 26-F35)</f>
        <v>19</v>
      </c>
      <c r="H35" s="8">
        <v>50854.1</v>
      </c>
      <c r="I35" s="8">
        <f>H35/G35</f>
        <v>2676.5315789473684</v>
      </c>
      <c r="J35" t="s">
        <v>15</v>
      </c>
      <c r="K35" t="s">
        <v>52</v>
      </c>
      <c r="L35">
        <v>100000</v>
      </c>
      <c r="M35" s="9" t="str">
        <f>IF(H35&lt;=L35, "Y", "Not Covered")</f>
        <v>Y</v>
      </c>
      <c r="N35" s="4" t="str">
        <f>CONCATENATE(B35,F35,D35,UPPER(LEFT(J35,3)),RIGHT(A35,3))</f>
        <v>HO07ODYBLA038</v>
      </c>
    </row>
    <row r="36" spans="1:14" x14ac:dyDescent="0.3">
      <c r="A36" s="6" t="s">
        <v>27</v>
      </c>
      <c r="B36" s="7" t="str">
        <f>LEFT(A36, 2)</f>
        <v>FD</v>
      </c>
      <c r="C36" s="5" t="str">
        <f>VLOOKUP(B36, $B$57:$C$62, 2)</f>
        <v>Ford</v>
      </c>
      <c r="D36" s="7" t="str">
        <f>MID(A36, 5, 3)</f>
        <v>FCS</v>
      </c>
      <c r="E36" s="4" t="str">
        <f>VLOOKUP(D36, D$57:E$67, 2)</f>
        <v>Focus</v>
      </c>
      <c r="F36" s="4" t="str">
        <f>MID(A36, 3, 2)</f>
        <v>06</v>
      </c>
      <c r="G36" s="4">
        <f>IF(26-F36&lt;0, 100-F36+26, 26-F36)</f>
        <v>20</v>
      </c>
      <c r="H36" s="8">
        <v>52229.5</v>
      </c>
      <c r="I36" s="8">
        <f>H36/G36</f>
        <v>2611.4749999999999</v>
      </c>
      <c r="J36" t="s">
        <v>21</v>
      </c>
      <c r="K36" t="s">
        <v>22</v>
      </c>
      <c r="L36">
        <v>75000</v>
      </c>
      <c r="M36" s="9" t="str">
        <f>IF(H36&lt;=L36, "Y", "Not Covered")</f>
        <v>Y</v>
      </c>
      <c r="N36" s="4" t="str">
        <f>CONCATENATE(B36,F36,D36,UPPER(LEFT(J36,3)),RIGHT(A36,3))</f>
        <v>FD06FCSGRE007</v>
      </c>
    </row>
    <row r="37" spans="1:14" x14ac:dyDescent="0.3">
      <c r="A37" s="6" t="s">
        <v>79</v>
      </c>
      <c r="B37" s="7" t="str">
        <f>LEFT(A37, 2)</f>
        <v>CR</v>
      </c>
      <c r="C37" s="5" t="str">
        <f>VLOOKUP(B37, $B$57:$C$62, 2)</f>
        <v>Chrysler</v>
      </c>
      <c r="D37" s="7" t="str">
        <f>MID(A37, 5, 3)</f>
        <v>CAR</v>
      </c>
      <c r="E37" s="4" t="str">
        <f>VLOOKUP(D37, D$57:E$67, 2)</f>
        <v>Caravan</v>
      </c>
      <c r="F37" s="4" t="str">
        <f>MID(A37, 3, 2)</f>
        <v>04</v>
      </c>
      <c r="G37" s="4">
        <f>IF(26-F37&lt;0, 100-F37+26, 26-F37)</f>
        <v>22</v>
      </c>
      <c r="H37" s="8">
        <v>52699.4</v>
      </c>
      <c r="I37" s="8">
        <f>H37/G37</f>
        <v>2395.4272727272728</v>
      </c>
      <c r="J37" t="s">
        <v>57</v>
      </c>
      <c r="K37" t="s">
        <v>41</v>
      </c>
      <c r="L37">
        <v>75000</v>
      </c>
      <c r="M37" s="9" t="str">
        <f>IF(H37&lt;=L37, "Y", "Not Covered")</f>
        <v>Y</v>
      </c>
      <c r="N37" s="4" t="str">
        <f>CONCATENATE(B37,F37,D37,UPPER(LEFT(J37,3)),RIGHT(A37,3))</f>
        <v>CR04CARRED048</v>
      </c>
    </row>
    <row r="38" spans="1:14" x14ac:dyDescent="0.3">
      <c r="A38" s="6" t="s">
        <v>121</v>
      </c>
      <c r="B38" s="7" t="str">
        <f>LEFT(A38, 2)</f>
        <v>HO</v>
      </c>
      <c r="C38" s="5" t="str">
        <f>VLOOKUP(B38, $B$57:$C$62, 2)</f>
        <v>Honda</v>
      </c>
      <c r="D38" s="7" t="str">
        <f>MID(A38, 5, 3)</f>
        <v>ODY</v>
      </c>
      <c r="E38" s="4" t="str">
        <f>VLOOKUP(D38, D$57:E$67, 2)</f>
        <v>Odyssey</v>
      </c>
      <c r="F38" s="4" t="str">
        <f>MID(A38, 3, 2)</f>
        <v>05</v>
      </c>
      <c r="G38" s="4">
        <f>IF(26-F38&lt;0, 100-F38+26, 26-F38)</f>
        <v>21</v>
      </c>
      <c r="H38" s="8">
        <v>60389.5</v>
      </c>
      <c r="I38" s="8">
        <f>H38/G38</f>
        <v>2875.6904761904761</v>
      </c>
      <c r="J38" t="s">
        <v>18</v>
      </c>
      <c r="K38" t="s">
        <v>29</v>
      </c>
      <c r="L38">
        <v>100000</v>
      </c>
      <c r="M38" s="9" t="str">
        <f>IF(H38&lt;=L38, "Y", "Not Covered")</f>
        <v>Y</v>
      </c>
      <c r="N38" s="4" t="str">
        <f>CONCATENATE(B38,F38,D38,UPPER(LEFT(J38,3)),RIGHT(A38,3))</f>
        <v>HO05ODYWHI037</v>
      </c>
    </row>
    <row r="39" spans="1:14" x14ac:dyDescent="0.3">
      <c r="A39" s="6" t="s">
        <v>56</v>
      </c>
      <c r="B39" s="7" t="str">
        <f>LEFT(A39, 2)</f>
        <v>TY</v>
      </c>
      <c r="C39" s="5" t="str">
        <f>VLOOKUP(B39, $B$57:$C$62, 2)</f>
        <v>Toyota</v>
      </c>
      <c r="D39" s="7" t="str">
        <f>MID(A39, 5, 3)</f>
        <v>COR</v>
      </c>
      <c r="E39" s="4" t="str">
        <f>VLOOKUP(D39, D$57:E$67, 2)</f>
        <v>Corola</v>
      </c>
      <c r="F39" s="4" t="str">
        <f>MID(A39, 3, 2)</f>
        <v>02</v>
      </c>
      <c r="G39" s="4">
        <f>IF(26-F39&lt;0, 100-F39+26, 26-F39)</f>
        <v>24</v>
      </c>
      <c r="H39" s="8">
        <v>64467.4</v>
      </c>
      <c r="I39" s="8">
        <f>H39/G39</f>
        <v>2686.1416666666669</v>
      </c>
      <c r="J39" t="s">
        <v>57</v>
      </c>
      <c r="K39" t="s">
        <v>58</v>
      </c>
      <c r="L39">
        <v>100000</v>
      </c>
      <c r="M39" s="9" t="str">
        <f>IF(H39&lt;=L39, "Y", "Not Covered")</f>
        <v>Y</v>
      </c>
      <c r="N39" s="4" t="str">
        <f>CONCATENATE(B39,F39,D39,UPPER(LEFT(J39,3)),RIGHT(A39,3))</f>
        <v>TY02CORRED025</v>
      </c>
    </row>
    <row r="40" spans="1:14" x14ac:dyDescent="0.3">
      <c r="A40" s="6" t="s">
        <v>73</v>
      </c>
      <c r="B40" s="7" t="str">
        <f>LEFT(A40, 2)</f>
        <v>CR</v>
      </c>
      <c r="C40" s="5" t="str">
        <f>VLOOKUP(B40, $B$57:$C$62, 2)</f>
        <v>Chrysler</v>
      </c>
      <c r="D40" s="7" t="str">
        <f>MID(A40, 5, 3)</f>
        <v>PTC</v>
      </c>
      <c r="E40" s="4" t="str">
        <f>VLOOKUP(D40, D$57:E$67, 2)</f>
        <v>PT Cruiser</v>
      </c>
      <c r="F40" s="4" t="str">
        <f>MID(A40, 3, 2)</f>
        <v>04</v>
      </c>
      <c r="G40" s="4">
        <f>IF(26-F40&lt;0, 100-F40+26, 26-F40)</f>
        <v>22</v>
      </c>
      <c r="H40" s="8">
        <v>64542</v>
      </c>
      <c r="I40" s="8">
        <f>H40/G40</f>
        <v>2933.7272727272725</v>
      </c>
      <c r="J40" t="s">
        <v>48</v>
      </c>
      <c r="K40" t="s">
        <v>16</v>
      </c>
      <c r="L40">
        <v>75000</v>
      </c>
      <c r="M40" s="9" t="str">
        <f>IF(H40&lt;=L40, "Y", "Not Covered")</f>
        <v>Y</v>
      </c>
      <c r="N40" s="4" t="str">
        <f>CONCATENATE(B40,F40,D40,UPPER(LEFT(J40,3)),RIGHT(A40,3))</f>
        <v>CR04PTCBLU042</v>
      </c>
    </row>
    <row r="41" spans="1:14" x14ac:dyDescent="0.3">
      <c r="A41" s="6" t="s">
        <v>54</v>
      </c>
      <c r="B41" s="7" t="str">
        <f>LEFT(A41, 2)</f>
        <v>TY</v>
      </c>
      <c r="C41" s="5" t="str">
        <f>VLOOKUP(B41, $B$57:$C$62, 2)</f>
        <v>Toyota</v>
      </c>
      <c r="D41" s="7" t="str">
        <f>MID(A41, 5, 3)</f>
        <v>CAM</v>
      </c>
      <c r="E41" s="4" t="str">
        <f>VLOOKUP(D41, D$57:E$67, 2)</f>
        <v>Camery</v>
      </c>
      <c r="F41" s="4" t="str">
        <f>MID(A41, 3, 2)</f>
        <v>02</v>
      </c>
      <c r="G41" s="4">
        <f>IF(26-F41&lt;0, 100-F41+26, 26-F41)</f>
        <v>24</v>
      </c>
      <c r="H41" s="8">
        <v>67829.100000000006</v>
      </c>
      <c r="I41" s="8">
        <f>H41/G41</f>
        <v>2826.2125000000001</v>
      </c>
      <c r="J41" t="s">
        <v>15</v>
      </c>
      <c r="K41" t="s">
        <v>16</v>
      </c>
      <c r="L41">
        <v>100000</v>
      </c>
      <c r="M41" s="9" t="str">
        <f>IF(H41&lt;=L41, "Y", "Not Covered")</f>
        <v>Y</v>
      </c>
      <c r="N41" s="4" t="str">
        <f>CONCATENATE(B41,F41,D41,UPPER(LEFT(J41,3)),RIGHT(A41,3))</f>
        <v>TY02CAMBLA023</v>
      </c>
    </row>
    <row r="42" spans="1:14" x14ac:dyDescent="0.3">
      <c r="A42" s="6" t="s">
        <v>118</v>
      </c>
      <c r="B42" s="7" t="str">
        <f>LEFT(A42, 2)</f>
        <v>HO</v>
      </c>
      <c r="C42" s="5" t="str">
        <f>VLOOKUP(B42, $B$57:$C$62, 2)</f>
        <v>Honda</v>
      </c>
      <c r="D42" s="7" t="str">
        <f>MID(A42, 5, 3)</f>
        <v>ODY</v>
      </c>
      <c r="E42" s="4" t="str">
        <f>VLOOKUP(D42, D$57:E$67, 2)</f>
        <v>Odyssey</v>
      </c>
      <c r="F42" s="4" t="str">
        <f>MID(A42, 3, 2)</f>
        <v>01</v>
      </c>
      <c r="G42" s="4">
        <f>IF(26-F42&lt;0, 100-F42+26, 26-F42)</f>
        <v>25</v>
      </c>
      <c r="H42" s="8">
        <v>68658.899999999994</v>
      </c>
      <c r="I42" s="8">
        <f>H42/G42</f>
        <v>2746.3559999999998</v>
      </c>
      <c r="J42" t="s">
        <v>15</v>
      </c>
      <c r="K42" t="s">
        <v>16</v>
      </c>
      <c r="L42">
        <v>100000</v>
      </c>
      <c r="M42" s="9" t="str">
        <f>IF(H42&lt;=L42, "Y", "Not Covered")</f>
        <v>Y</v>
      </c>
      <c r="N42" s="4" t="str">
        <f>CONCATENATE(B42,F42,D42,UPPER(LEFT(J42,3)),RIGHT(A42,3))</f>
        <v>HO01ODYBLA040</v>
      </c>
    </row>
    <row r="43" spans="1:14" x14ac:dyDescent="0.3">
      <c r="A43" s="6" t="s">
        <v>64</v>
      </c>
      <c r="B43" s="7" t="str">
        <f>LEFT(A43, 2)</f>
        <v>HO</v>
      </c>
      <c r="C43" s="5" t="str">
        <f>VLOOKUP(B43, $B$57:$C$62, 2)</f>
        <v>Honda</v>
      </c>
      <c r="D43" s="7" t="str">
        <f>MID(A43, 5, 3)</f>
        <v>CIV</v>
      </c>
      <c r="E43" s="4" t="str">
        <f>VLOOKUP(D43, D$57:E$67, 2)</f>
        <v>Civic</v>
      </c>
      <c r="F43" s="4" t="str">
        <f>MID(A43, 3, 2)</f>
        <v>01</v>
      </c>
      <c r="G43" s="4">
        <f>IF(26-F43&lt;0, 100-F43+26, 26-F43)</f>
        <v>25</v>
      </c>
      <c r="H43" s="8">
        <v>69891.899999999994</v>
      </c>
      <c r="I43" s="8">
        <f>H43/G43</f>
        <v>2795.6759999999999</v>
      </c>
      <c r="J43" t="s">
        <v>48</v>
      </c>
      <c r="K43" t="s">
        <v>24</v>
      </c>
      <c r="L43">
        <v>75000</v>
      </c>
      <c r="M43" s="9" t="str">
        <f>IF(H43&lt;=L43, "Y", "Not Covered")</f>
        <v>Y</v>
      </c>
      <c r="N43" s="4" t="str">
        <f>CONCATENATE(B43,F43,D43,UPPER(LEFT(J43,3)),RIGHT(A43,3))</f>
        <v>HO01CIVBLU031</v>
      </c>
    </row>
    <row r="44" spans="1:14" x14ac:dyDescent="0.3">
      <c r="A44" s="6" t="s">
        <v>78</v>
      </c>
      <c r="B44" s="7" t="str">
        <f>LEFT(A44, 2)</f>
        <v>CR</v>
      </c>
      <c r="C44" s="5" t="str">
        <f>VLOOKUP(B44, $B$57:$C$62, 2)</f>
        <v>Chrysler</v>
      </c>
      <c r="D44" s="7" t="str">
        <f>MID(A44, 5, 3)</f>
        <v>CAR</v>
      </c>
      <c r="E44" s="4" t="str">
        <f>VLOOKUP(D44, D$57:E$67, 2)</f>
        <v>Caravan</v>
      </c>
      <c r="F44" s="4" t="str">
        <f>MID(A44, 3, 2)</f>
        <v>04</v>
      </c>
      <c r="G44" s="4">
        <f>IF(26-F44&lt;0, 100-F44+26, 26-F44)</f>
        <v>22</v>
      </c>
      <c r="H44" s="8">
        <v>72527.199999999997</v>
      </c>
      <c r="I44" s="8">
        <f>H44/G44</f>
        <v>3296.6909090909089</v>
      </c>
      <c r="J44" t="s">
        <v>18</v>
      </c>
      <c r="K44" t="s">
        <v>41</v>
      </c>
      <c r="L44">
        <v>75000</v>
      </c>
      <c r="M44" s="9" t="str">
        <f>IF(H44&lt;=L44, "Y", "Not Covered")</f>
        <v>Y</v>
      </c>
      <c r="N44" s="4" t="str">
        <f>CONCATENATE(B44,F44,D44,UPPER(LEFT(J44,3)),RIGHT(A44,3))</f>
        <v>CR04CARWHI047</v>
      </c>
    </row>
    <row r="45" spans="1:14" x14ac:dyDescent="0.3">
      <c r="A45" s="6" t="s">
        <v>59</v>
      </c>
      <c r="B45" s="7" t="str">
        <f>LEFT(A45, 2)</f>
        <v>TY</v>
      </c>
      <c r="C45" s="5" t="str">
        <f>VLOOKUP(B45, $B$57:$C$62, 2)</f>
        <v>Toyota</v>
      </c>
      <c r="D45" s="7" t="str">
        <f>MID(A45, 5, 3)</f>
        <v>COR</v>
      </c>
      <c r="E45" s="4" t="str">
        <f>VLOOKUP(D45, D$57:E$67, 2)</f>
        <v>Corola</v>
      </c>
      <c r="F45" s="4" t="str">
        <f>MID(A45, 3, 2)</f>
        <v>03</v>
      </c>
      <c r="G45" s="4">
        <f>IF(26-F45&lt;0, 100-F45+26, 26-F45)</f>
        <v>23</v>
      </c>
      <c r="H45" s="8">
        <v>73444.399999999994</v>
      </c>
      <c r="I45" s="8">
        <f>H45/G45</f>
        <v>3193.2347826086952</v>
      </c>
      <c r="J45" t="s">
        <v>15</v>
      </c>
      <c r="K45" t="s">
        <v>58</v>
      </c>
      <c r="L45">
        <v>100000</v>
      </c>
      <c r="M45" s="9" t="str">
        <f>IF(H45&lt;=L45, "Y", "Not Covered")</f>
        <v>Y</v>
      </c>
      <c r="N45" s="4" t="str">
        <f>CONCATENATE(B45,F45,D45,UPPER(LEFT(J45,3)),RIGHT(A45,3))</f>
        <v>TY03CORBLA026</v>
      </c>
    </row>
    <row r="46" spans="1:14" x14ac:dyDescent="0.3">
      <c r="A46" s="6" t="s">
        <v>77</v>
      </c>
      <c r="B46" s="7" t="str">
        <f>LEFT(A46, 2)</f>
        <v>CR</v>
      </c>
      <c r="C46" s="5" t="str">
        <f>VLOOKUP(B46, $B$57:$C$62, 2)</f>
        <v>Chrysler</v>
      </c>
      <c r="D46" s="7" t="str">
        <f>MID(A46, 5, 3)</f>
        <v>CAR</v>
      </c>
      <c r="E46" s="4" t="str">
        <f>VLOOKUP(D46, D$57:E$67, 2)</f>
        <v>Caravan</v>
      </c>
      <c r="F46" s="4" t="str">
        <f>MID(A46, 3, 2)</f>
        <v>00</v>
      </c>
      <c r="G46" s="4">
        <f>IF(26-F46&lt;0, 100-F46+26, 26-F46)</f>
        <v>26</v>
      </c>
      <c r="H46" s="8">
        <v>77243.100000000006</v>
      </c>
      <c r="I46" s="8">
        <f>H46/G46</f>
        <v>2970.8884615384618</v>
      </c>
      <c r="J46" t="s">
        <v>15</v>
      </c>
      <c r="K46" t="s">
        <v>24</v>
      </c>
      <c r="L46">
        <v>75000</v>
      </c>
      <c r="M46" s="9" t="str">
        <f>IF(H46&lt;=L46, "Y", "Not Covered")</f>
        <v>Not Covered</v>
      </c>
      <c r="N46" s="4" t="str">
        <f>CONCATENATE(B46,F46,D46,UPPER(LEFT(J46,3)),RIGHT(A46,3))</f>
        <v>CR00CARBLA046</v>
      </c>
    </row>
    <row r="47" spans="1:14" x14ac:dyDescent="0.3">
      <c r="A47" s="6" t="s">
        <v>76</v>
      </c>
      <c r="B47" s="7" t="str">
        <f>LEFT(A47, 2)</f>
        <v>CR</v>
      </c>
      <c r="C47" s="5" t="str">
        <f>VLOOKUP(B47, $B$57:$C$62, 2)</f>
        <v>Chrysler</v>
      </c>
      <c r="D47" s="7" t="str">
        <f>MID(A47, 5, 3)</f>
        <v>CAR</v>
      </c>
      <c r="E47" s="4" t="str">
        <f>VLOOKUP(D47, D$57:E$67, 2)</f>
        <v>Caravan</v>
      </c>
      <c r="F47" s="4" t="str">
        <f>MID(A47, 3, 2)</f>
        <v>99</v>
      </c>
      <c r="G47" s="4">
        <f>IF(26-F47&lt;0, 100-F47+26, 26-F47)</f>
        <v>27</v>
      </c>
      <c r="H47" s="8">
        <v>79420.600000000006</v>
      </c>
      <c r="I47" s="8">
        <f>H47/G47</f>
        <v>2941.5037037037041</v>
      </c>
      <c r="J47" t="s">
        <v>21</v>
      </c>
      <c r="K47" t="s">
        <v>45</v>
      </c>
      <c r="L47">
        <v>75000</v>
      </c>
      <c r="M47" s="9" t="str">
        <f>IF(H47&lt;=L47, "Y", "Not Covered")</f>
        <v>Not Covered</v>
      </c>
      <c r="N47" s="4" t="str">
        <f>CONCATENATE(B47,F47,D47,UPPER(LEFT(J47,3)),RIGHT(A47,3))</f>
        <v>CR99CARGRE045</v>
      </c>
    </row>
    <row r="48" spans="1:14" x14ac:dyDescent="0.3">
      <c r="A48" s="6" t="s">
        <v>47</v>
      </c>
      <c r="B48" s="7" t="str">
        <f>LEFT(A48, 2)</f>
        <v>GM</v>
      </c>
      <c r="C48" s="5" t="str">
        <f>VLOOKUP(B48, $B$57:$C$62, 2)</f>
        <v>General Motors</v>
      </c>
      <c r="D48" s="7" t="str">
        <f>MID(A48, 5, 3)</f>
        <v>SLV</v>
      </c>
      <c r="E48" s="4" t="str">
        <f>VLOOKUP(D48, D$57:E$67, 2)</f>
        <v>Silverado</v>
      </c>
      <c r="F48" s="4" t="str">
        <f>MID(A48, 3, 2)</f>
        <v>00</v>
      </c>
      <c r="G48" s="4">
        <f>IF(26-F48&lt;0, 100-F48+26, 26-F48)</f>
        <v>26</v>
      </c>
      <c r="H48" s="8">
        <v>80685.8</v>
      </c>
      <c r="I48" s="8">
        <f>H48/G48</f>
        <v>3103.3</v>
      </c>
      <c r="J48" t="s">
        <v>48</v>
      </c>
      <c r="K48" t="s">
        <v>36</v>
      </c>
      <c r="L48">
        <v>100000</v>
      </c>
      <c r="M48" s="9" t="str">
        <f>IF(H48&lt;=L48, "Y", "Not Covered")</f>
        <v>Y</v>
      </c>
      <c r="N48" s="4" t="str">
        <f>CONCATENATE(B48,F48,D48,UPPER(LEFT(J48,3)),RIGHT(A48,3))</f>
        <v>GM00SLVBLU019</v>
      </c>
    </row>
    <row r="49" spans="1:14" x14ac:dyDescent="0.3">
      <c r="A49" s="6" t="s">
        <v>63</v>
      </c>
      <c r="B49" s="7" t="str">
        <f>LEFT(A49, 2)</f>
        <v>HO</v>
      </c>
      <c r="C49" s="5" t="str">
        <f>VLOOKUP(B49, $B$57:$C$62, 2)</f>
        <v>Honda</v>
      </c>
      <c r="D49" s="7" t="str">
        <f>MID(A49, 5, 3)</f>
        <v>CIV</v>
      </c>
      <c r="E49" s="4" t="str">
        <f>VLOOKUP(D49, D$57:E$67, 2)</f>
        <v>Civic</v>
      </c>
      <c r="F49" s="4" t="str">
        <f>MID(A49, 3, 2)</f>
        <v>99</v>
      </c>
      <c r="G49" s="4">
        <f>IF(26-F49&lt;0, 100-F49+26, 26-F49)</f>
        <v>27</v>
      </c>
      <c r="H49" s="8">
        <v>82374</v>
      </c>
      <c r="I49" s="8">
        <f>H49/G49</f>
        <v>3050.8888888888887</v>
      </c>
      <c r="J49" t="s">
        <v>18</v>
      </c>
      <c r="K49" t="s">
        <v>38</v>
      </c>
      <c r="L49">
        <v>75000</v>
      </c>
      <c r="M49" s="9" t="str">
        <f>IF(H49&lt;=L49, "Y", "Not Covered")</f>
        <v>Not Covered</v>
      </c>
      <c r="N49" s="4" t="str">
        <f>CONCATENATE(B49,F49,D49,UPPER(LEFT(J49,3)),RIGHT(A49,3))</f>
        <v>HO99CIVWHI030</v>
      </c>
    </row>
    <row r="50" spans="1:14" x14ac:dyDescent="0.3">
      <c r="A50" s="6" t="s">
        <v>46</v>
      </c>
      <c r="B50" s="7" t="str">
        <f>LEFT(A50, 2)</f>
        <v>GM</v>
      </c>
      <c r="C50" s="5" t="str">
        <f>VLOOKUP(B50, $B$57:$C$62, 2)</f>
        <v>General Motors</v>
      </c>
      <c r="D50" s="7" t="str">
        <f>MID(A50, 5, 3)</f>
        <v>SLV</v>
      </c>
      <c r="E50" s="4" t="str">
        <f>VLOOKUP(D50, D$57:E$67, 2)</f>
        <v>Silverado</v>
      </c>
      <c r="F50" s="4" t="str">
        <f>MID(A50, 3, 2)</f>
        <v>98</v>
      </c>
      <c r="G50" s="4">
        <f>IF(26-F50&lt;0, 100-F50+26, 26-F50)</f>
        <v>28</v>
      </c>
      <c r="H50" s="8">
        <v>83162.7</v>
      </c>
      <c r="I50" s="8">
        <f>H50/G50</f>
        <v>2970.0964285714285</v>
      </c>
      <c r="J50" t="s">
        <v>15</v>
      </c>
      <c r="K50" t="s">
        <v>39</v>
      </c>
      <c r="L50">
        <v>100000</v>
      </c>
      <c r="M50" s="9" t="str">
        <f>IF(H50&lt;=L50, "Y", "Not Covered")</f>
        <v>Y</v>
      </c>
      <c r="N50" s="4" t="str">
        <f>CONCATENATE(B50,F50,D50,UPPER(LEFT(J50,3)),RIGHT(A50,3))</f>
        <v>GM98SLVBLA018</v>
      </c>
    </row>
    <row r="51" spans="1:14" x14ac:dyDescent="0.3">
      <c r="A51" s="6" t="s">
        <v>53</v>
      </c>
      <c r="B51" s="7" t="str">
        <f>LEFT(A51, 2)</f>
        <v>TY</v>
      </c>
      <c r="C51" s="5" t="str">
        <f>VLOOKUP(B51, $B$57:$C$62, 2)</f>
        <v>Toyota</v>
      </c>
      <c r="D51" s="7" t="str">
        <f>MID(A51, 5, 3)</f>
        <v>CAM</v>
      </c>
      <c r="E51" s="4" t="str">
        <f>VLOOKUP(D51, D$57:E$67, 2)</f>
        <v>Camery</v>
      </c>
      <c r="F51" s="4" t="str">
        <f>MID(A51, 3, 2)</f>
        <v>00</v>
      </c>
      <c r="G51" s="4">
        <f>IF(26-F51&lt;0, 100-F51+26, 26-F51)</f>
        <v>26</v>
      </c>
      <c r="H51" s="8">
        <v>85928</v>
      </c>
      <c r="I51" s="8">
        <f>H51/G51</f>
        <v>3304.9230769230771</v>
      </c>
      <c r="J51" t="s">
        <v>21</v>
      </c>
      <c r="K51" t="s">
        <v>26</v>
      </c>
      <c r="L51">
        <v>100000</v>
      </c>
      <c r="M51" s="9" t="str">
        <f>IF(H51&lt;=L51, "Y", "Not Covered")</f>
        <v>Y</v>
      </c>
      <c r="N51" s="4" t="str">
        <f>CONCATENATE(B51,F51,D51,UPPER(LEFT(J51,3)),RIGHT(A51,3))</f>
        <v>TY00CAMGRE022</v>
      </c>
    </row>
    <row r="52" spans="1:14" x14ac:dyDescent="0.3">
      <c r="A52" s="6" t="s">
        <v>51</v>
      </c>
      <c r="B52" s="7" t="str">
        <f>LEFT(A52, 2)</f>
        <v>TY</v>
      </c>
      <c r="C52" s="5" t="str">
        <f>VLOOKUP(B52, $B$57:$C$62, 2)</f>
        <v>Toyota</v>
      </c>
      <c r="D52" s="7" t="str">
        <f>MID(A52, 5, 3)</f>
        <v>CAM</v>
      </c>
      <c r="E52" s="4" t="str">
        <f>VLOOKUP(D52, D$57:E$67, 2)</f>
        <v>Camery</v>
      </c>
      <c r="F52" s="4" t="str">
        <f>MID(A52, 3, 2)</f>
        <v>98</v>
      </c>
      <c r="G52" s="4">
        <f>IF(26-F52&lt;0, 100-F52+26, 26-F52)</f>
        <v>28</v>
      </c>
      <c r="H52" s="8">
        <v>93382.6</v>
      </c>
      <c r="I52" s="8">
        <f>H52/G52</f>
        <v>3335.0928571428572</v>
      </c>
      <c r="J52" t="s">
        <v>15</v>
      </c>
      <c r="K52" t="s">
        <v>52</v>
      </c>
      <c r="L52">
        <v>100000</v>
      </c>
      <c r="M52" s="9" t="str">
        <f>IF(H52&lt;=L52, "Y", "Not Covered")</f>
        <v>Y</v>
      </c>
      <c r="N52" s="4" t="str">
        <f>CONCATENATE(B52,F52,D52,UPPER(LEFT(J52,3)),RIGHT(A52,3))</f>
        <v>TY98CAMBLA021</v>
      </c>
    </row>
    <row r="53" spans="1:14" x14ac:dyDescent="0.3">
      <c r="A53" s="6" t="s">
        <v>49</v>
      </c>
      <c r="B53" s="7" t="str">
        <f>LEFT(A53, 2)</f>
        <v>TY</v>
      </c>
      <c r="C53" s="5" t="str">
        <f>VLOOKUP(B53, $B$57:$C$62, 2)</f>
        <v>Toyota</v>
      </c>
      <c r="D53" s="7" t="str">
        <f>MID(A53, 5, 3)</f>
        <v>CAM</v>
      </c>
      <c r="E53" s="4" t="str">
        <f>VLOOKUP(D53, D$57:E$67, 2)</f>
        <v>Camery</v>
      </c>
      <c r="F53" s="4" t="str">
        <f>MID(A53, 3, 2)</f>
        <v>96</v>
      </c>
      <c r="G53" s="4">
        <f>IF(26-F53&lt;0, 100-F53+26, 26-F53)</f>
        <v>30</v>
      </c>
      <c r="H53" s="8">
        <v>114660.6</v>
      </c>
      <c r="I53" s="8">
        <f>H53/G53</f>
        <v>3822.02</v>
      </c>
      <c r="J53" t="s">
        <v>21</v>
      </c>
      <c r="K53" t="s">
        <v>50</v>
      </c>
      <c r="L53">
        <v>100000</v>
      </c>
      <c r="M53" s="9" t="str">
        <f>IF(H53&lt;=L53, "Y", "Not Covered")</f>
        <v>Not Covered</v>
      </c>
      <c r="N53" s="4" t="str">
        <f>CONCATENATE(B53,F53,D53,UPPER(LEFT(J53,3)),RIGHT(A53,3))</f>
        <v>TY96CAMGRE020</v>
      </c>
    </row>
    <row r="57" spans="1:14" x14ac:dyDescent="0.3">
      <c r="B57" s="7" t="s">
        <v>84</v>
      </c>
      <c r="C57" s="4" t="s">
        <v>90</v>
      </c>
      <c r="D57" s="4" t="s">
        <v>96</v>
      </c>
      <c r="E57" s="4" t="s">
        <v>97</v>
      </c>
    </row>
    <row r="58" spans="1:14" x14ac:dyDescent="0.3">
      <c r="B58" s="7" t="s">
        <v>89</v>
      </c>
      <c r="C58" s="4" t="s">
        <v>95</v>
      </c>
      <c r="D58" s="4" t="s">
        <v>106</v>
      </c>
      <c r="E58" s="4" t="s">
        <v>107</v>
      </c>
    </row>
    <row r="59" spans="1:14" ht="28.8" x14ac:dyDescent="0.3">
      <c r="B59" s="7" t="s">
        <v>88</v>
      </c>
      <c r="C59" s="1" t="s">
        <v>94</v>
      </c>
      <c r="D59" s="4" t="s">
        <v>108</v>
      </c>
      <c r="E59" s="4" t="s">
        <v>109</v>
      </c>
    </row>
    <row r="60" spans="1:14" x14ac:dyDescent="0.3">
      <c r="B60" s="7" t="s">
        <v>87</v>
      </c>
      <c r="C60" s="4" t="s">
        <v>93</v>
      </c>
      <c r="D60" s="4" t="s">
        <v>102</v>
      </c>
      <c r="E60" s="4" t="s">
        <v>103</v>
      </c>
    </row>
    <row r="61" spans="1:14" x14ac:dyDescent="0.3">
      <c r="B61" s="7" t="s">
        <v>85</v>
      </c>
      <c r="C61" s="4" t="s">
        <v>91</v>
      </c>
      <c r="D61" s="4" t="s">
        <v>104</v>
      </c>
      <c r="E61" s="4" t="s">
        <v>105</v>
      </c>
    </row>
    <row r="62" spans="1:14" x14ac:dyDescent="0.3">
      <c r="B62" s="7" t="s">
        <v>86</v>
      </c>
      <c r="C62" s="4" t="s">
        <v>92</v>
      </c>
      <c r="D62" s="4" t="s">
        <v>98</v>
      </c>
      <c r="E62" s="4" t="s">
        <v>99</v>
      </c>
    </row>
    <row r="63" spans="1:14" x14ac:dyDescent="0.3">
      <c r="D63" s="4" t="s">
        <v>100</v>
      </c>
      <c r="E63" s="4" t="s">
        <v>101</v>
      </c>
    </row>
    <row r="64" spans="1:14" x14ac:dyDescent="0.3">
      <c r="D64" s="4" t="s">
        <v>110</v>
      </c>
      <c r="E64" s="4" t="s">
        <v>111</v>
      </c>
    </row>
    <row r="65" spans="4:5" x14ac:dyDescent="0.3">
      <c r="D65" s="4" t="s">
        <v>112</v>
      </c>
      <c r="E65" s="4" t="s">
        <v>113</v>
      </c>
    </row>
    <row r="66" spans="4:5" x14ac:dyDescent="0.3">
      <c r="D66" s="4" t="s">
        <v>114</v>
      </c>
      <c r="E66" s="4" t="s">
        <v>115</v>
      </c>
    </row>
    <row r="67" spans="4:5" x14ac:dyDescent="0.3">
      <c r="D67" s="4" t="s">
        <v>116</v>
      </c>
      <c r="E67" s="4" t="s">
        <v>117</v>
      </c>
    </row>
  </sheetData>
  <autoFilter ref="A1:N1" xr:uid="{BE1BE64A-6E35-46AF-B538-7FFA7D2A357E}"/>
  <sortState xmlns:xlrd2="http://schemas.microsoft.com/office/spreadsheetml/2017/richdata2" ref="A2:N53">
    <sortCondition ref="H2:H53"/>
  </sortState>
  <conditionalFormatting sqref="M2:M53">
    <cfRule type="cellIs" dxfId="3" priority="2" operator="equal">
      <formula>"Not Covered"</formula>
    </cfRule>
    <cfRule type="cellIs" dxfId="2" priority="3" operator="equal">
      <formula>"Y"</formula>
    </cfRule>
  </conditionalFormatting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scale="7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car inventory</vt:lpstr>
      <vt:lpstr>'car inventory'!Print_Titles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VICTUS</cp:lastModifiedBy>
  <cp:lastPrinted>2026-10-25T19:21:35Z</cp:lastPrinted>
  <dcterms:modified xsi:type="dcterms:W3CDTF">2026-10-31T14:56:01Z</dcterms:modified>
</cp:coreProperties>
</file>