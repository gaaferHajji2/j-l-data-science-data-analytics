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FC5DFC43-0CC2-4843-84CD-5E390959E859}" xr6:coauthVersionLast="47" xr6:coauthVersionMax="47" xr10:uidLastSave="{00000000-0000-0000-0000-000000000000}"/>
  <bookViews>
    <workbookView xWindow="-120" yWindow="-120" windowWidth="20730" windowHeight="11160" xr2:uid="{F7F01B57-B888-4E05-A171-2C1A91DBF3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  <c r="L20" i="1" s="1"/>
  <c r="J19" i="1"/>
  <c r="L19" i="1" s="1"/>
  <c r="J18" i="1"/>
  <c r="L18" i="1" s="1"/>
  <c r="J17" i="1"/>
  <c r="L17" i="1" s="1"/>
  <c r="J16" i="1"/>
  <c r="L16" i="1" s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D25" i="1"/>
  <c r="D24" i="1"/>
  <c r="D23" i="1"/>
  <c r="D22" i="1"/>
  <c r="C25" i="1"/>
  <c r="C24" i="1"/>
  <c r="C23" i="1"/>
  <c r="C22" i="1"/>
  <c r="K20" i="1"/>
  <c r="K19" i="1"/>
  <c r="K18" i="1"/>
  <c r="K17" i="1"/>
  <c r="K4" i="1"/>
  <c r="K16" i="1"/>
  <c r="K15" i="1"/>
  <c r="K14" i="1"/>
  <c r="K13" i="1"/>
  <c r="K12" i="1"/>
  <c r="K11" i="1"/>
  <c r="K10" i="1"/>
  <c r="K9" i="1"/>
  <c r="K8" i="1"/>
  <c r="K7" i="1"/>
  <c r="K6" i="1"/>
  <c r="K5" i="1"/>
  <c r="M18" i="1" l="1"/>
  <c r="M7" i="1"/>
  <c r="M11" i="1"/>
  <c r="M15" i="1"/>
  <c r="M19" i="1"/>
  <c r="M6" i="1"/>
  <c r="M10" i="1"/>
  <c r="M14" i="1"/>
  <c r="M17" i="1"/>
  <c r="M8" i="1"/>
  <c r="M12" i="1"/>
  <c r="M16" i="1"/>
  <c r="L22" i="1"/>
  <c r="L24" i="1"/>
  <c r="L25" i="1"/>
  <c r="L23" i="1"/>
  <c r="M5" i="1"/>
  <c r="M9" i="1"/>
  <c r="M13" i="1"/>
  <c r="M20" i="1"/>
  <c r="K22" i="1"/>
  <c r="M4" i="1"/>
  <c r="K23" i="1"/>
  <c r="K25" i="1"/>
  <c r="K24" i="1"/>
  <c r="M25" i="1" l="1"/>
  <c r="M22" i="1"/>
  <c r="M24" i="1"/>
  <c r="M23" i="1"/>
</calcChain>
</file>

<file path=xl/sharedStrings.xml><?xml version="1.0" encoding="utf-8"?>
<sst xmlns="http://schemas.openxmlformats.org/spreadsheetml/2006/main" count="48" uniqueCount="31">
  <si>
    <t>Employee Payroll</t>
  </si>
  <si>
    <t>First Name</t>
  </si>
  <si>
    <t>Last Name</t>
  </si>
  <si>
    <t>Hourly Wage</t>
  </si>
  <si>
    <t>House Worked</t>
  </si>
  <si>
    <t>Pay</t>
  </si>
  <si>
    <t>JLoka-02</t>
  </si>
  <si>
    <t>JLoka-01</t>
  </si>
  <si>
    <t>JLoka-03</t>
  </si>
  <si>
    <t>JLoka-04</t>
  </si>
  <si>
    <t>JLoka-05</t>
  </si>
  <si>
    <t>JLoka-06</t>
  </si>
  <si>
    <t>JLoka-07</t>
  </si>
  <si>
    <t>JLoka-08</t>
  </si>
  <si>
    <t>JLoka-09</t>
  </si>
  <si>
    <t>JLoka-10</t>
  </si>
  <si>
    <t>JLoka-11</t>
  </si>
  <si>
    <t>JLoka-12</t>
  </si>
  <si>
    <t>JLoka-13</t>
  </si>
  <si>
    <t>JLoka-14</t>
  </si>
  <si>
    <t>JLoka-15</t>
  </si>
  <si>
    <t>JLoka-16</t>
  </si>
  <si>
    <t>JLoka-17</t>
  </si>
  <si>
    <t>Max</t>
  </si>
  <si>
    <t>Min</t>
  </si>
  <si>
    <t>Average</t>
  </si>
  <si>
    <t>Total</t>
  </si>
  <si>
    <t>Jafar Loka</t>
  </si>
  <si>
    <t>Overtime Hours</t>
  </si>
  <si>
    <t>Overtime Bonus</t>
  </si>
  <si>
    <t>Total Pay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</si>
</sst>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9" formatCode="0.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44" fontId="0" fillId="0" borderId="0" xfId="1" applyFont="1"/>
    <xf numFmtId="44" fontId="0" fillId="0" borderId="0" xfId="0" applyNumberFormat="1"/>
    <xf numFmtId="169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88FA1-4119-4E7F-B14C-64FC004B9D39}">
  <dimension ref="A1:M25"/>
  <sheetViews>
    <sheetView tabSelected="1" workbookViewId="0">
      <selection activeCell="I1" sqref="I1:I1048576"/>
    </sheetView>
  </sheetViews>
  <sheetFormatPr defaultRowHeight="15" x14ac:dyDescent="0.25"/>
  <cols>
    <col min="1" max="1" width="12.140625" customWidth="1"/>
    <col min="2" max="2" width="14" customWidth="1"/>
    <col min="3" max="3" width="14.85546875" customWidth="1"/>
    <col min="4" max="9" width="14.7109375" customWidth="1"/>
    <col min="10" max="10" width="19" customWidth="1"/>
    <col min="11" max="11" width="14.5703125" customWidth="1"/>
    <col min="12" max="12" width="18.140625" customWidth="1"/>
    <col min="13" max="13" width="17" customWidth="1"/>
  </cols>
  <sheetData>
    <row r="1" spans="1:13" x14ac:dyDescent="0.25">
      <c r="A1" s="1" t="s">
        <v>0</v>
      </c>
      <c r="B1" s="1"/>
      <c r="C1" t="s">
        <v>27</v>
      </c>
    </row>
    <row r="2" spans="1:13" x14ac:dyDescent="0.25">
      <c r="D2" t="s">
        <v>4</v>
      </c>
      <c r="J2" t="s">
        <v>28</v>
      </c>
      <c r="K2" t="s">
        <v>5</v>
      </c>
      <c r="L2" t="s">
        <v>29</v>
      </c>
      <c r="M2" t="s">
        <v>30</v>
      </c>
    </row>
    <row r="3" spans="1:13" x14ac:dyDescent="0.25">
      <c r="A3" t="s">
        <v>1</v>
      </c>
      <c r="B3" t="s">
        <v>2</v>
      </c>
      <c r="C3" t="s">
        <v>3</v>
      </c>
      <c r="D3" s="2">
        <v>46023</v>
      </c>
      <c r="E3" s="2"/>
      <c r="F3" s="2"/>
      <c r="G3" s="2"/>
      <c r="H3" s="2"/>
      <c r="I3" s="2"/>
      <c r="J3" s="2"/>
    </row>
    <row r="4" spans="1:13" x14ac:dyDescent="0.25">
      <c r="A4" t="s">
        <v>7</v>
      </c>
      <c r="B4" t="s">
        <v>7</v>
      </c>
      <c r="C4" s="3">
        <v>100</v>
      </c>
      <c r="D4">
        <v>40</v>
      </c>
      <c r="J4">
        <f>IF(D4&gt;50,D4-50,0)</f>
        <v>0</v>
      </c>
      <c r="K4" s="4">
        <f>C4*D4</f>
        <v>4000</v>
      </c>
      <c r="L4" s="4">
        <f>0.5*C4*J4</f>
        <v>0</v>
      </c>
      <c r="M4" s="4">
        <f>K4+L4</f>
        <v>4000</v>
      </c>
    </row>
    <row r="5" spans="1:13" x14ac:dyDescent="0.25">
      <c r="A5" t="s">
        <v>6</v>
      </c>
      <c r="B5" t="s">
        <v>6</v>
      </c>
      <c r="C5" s="3">
        <v>150</v>
      </c>
      <c r="D5">
        <v>40.5</v>
      </c>
      <c r="J5">
        <f>IF(D5&gt;50,D5-50,0)</f>
        <v>0</v>
      </c>
      <c r="K5" s="4">
        <f t="shared" ref="K5:K23" si="0">C5*D5</f>
        <v>6075</v>
      </c>
      <c r="L5" s="4">
        <f t="shared" ref="L5:L20" si="1">0.5*C5*J5</f>
        <v>0</v>
      </c>
      <c r="M5" s="4">
        <f t="shared" ref="M5:M20" si="2">K5+L5</f>
        <v>6075</v>
      </c>
    </row>
    <row r="6" spans="1:13" x14ac:dyDescent="0.25">
      <c r="A6" t="s">
        <v>8</v>
      </c>
      <c r="B6" t="s">
        <v>8</v>
      </c>
      <c r="C6" s="3">
        <v>200</v>
      </c>
      <c r="D6">
        <v>45</v>
      </c>
      <c r="J6">
        <f>IF(D6&gt;50,D6-50,0)</f>
        <v>0</v>
      </c>
      <c r="K6" s="4">
        <f t="shared" si="0"/>
        <v>9000</v>
      </c>
      <c r="L6" s="4">
        <f t="shared" si="1"/>
        <v>0</v>
      </c>
      <c r="M6" s="4">
        <f t="shared" si="2"/>
        <v>9000</v>
      </c>
    </row>
    <row r="7" spans="1:13" x14ac:dyDescent="0.25">
      <c r="A7" t="s">
        <v>9</v>
      </c>
      <c r="B7" t="s">
        <v>9</v>
      </c>
      <c r="C7" s="3">
        <v>250</v>
      </c>
      <c r="D7">
        <v>45.5</v>
      </c>
      <c r="J7">
        <f>IF(D7&gt;50,D7-50,0)</f>
        <v>0</v>
      </c>
      <c r="K7" s="4">
        <f t="shared" si="0"/>
        <v>11375</v>
      </c>
      <c r="L7" s="4">
        <f t="shared" si="1"/>
        <v>0</v>
      </c>
      <c r="M7" s="4">
        <f t="shared" si="2"/>
        <v>11375</v>
      </c>
    </row>
    <row r="8" spans="1:13" x14ac:dyDescent="0.25">
      <c r="A8" t="s">
        <v>10</v>
      </c>
      <c r="B8" t="s">
        <v>10</v>
      </c>
      <c r="C8" s="3">
        <v>300</v>
      </c>
      <c r="D8">
        <v>50</v>
      </c>
      <c r="J8">
        <f>IF(D8&gt;50,D8-50,0)</f>
        <v>0</v>
      </c>
      <c r="K8" s="4">
        <f t="shared" si="0"/>
        <v>15000</v>
      </c>
      <c r="L8" s="4">
        <f t="shared" si="1"/>
        <v>0</v>
      </c>
      <c r="M8" s="4">
        <f t="shared" si="2"/>
        <v>15000</v>
      </c>
    </row>
    <row r="9" spans="1:13" x14ac:dyDescent="0.25">
      <c r="A9" t="s">
        <v>11</v>
      </c>
      <c r="B9" t="s">
        <v>11</v>
      </c>
      <c r="C9" s="3">
        <v>350</v>
      </c>
      <c r="D9">
        <v>50.5</v>
      </c>
      <c r="J9">
        <f>IF(D9&gt;50,D9-50,0)</f>
        <v>0.5</v>
      </c>
      <c r="K9" s="4">
        <f t="shared" si="0"/>
        <v>17675</v>
      </c>
      <c r="L9" s="4">
        <f t="shared" si="1"/>
        <v>87.5</v>
      </c>
      <c r="M9" s="4">
        <f t="shared" si="2"/>
        <v>17762.5</v>
      </c>
    </row>
    <row r="10" spans="1:13" x14ac:dyDescent="0.25">
      <c r="A10" t="s">
        <v>12</v>
      </c>
      <c r="B10" t="s">
        <v>12</v>
      </c>
      <c r="C10" s="3">
        <v>400</v>
      </c>
      <c r="D10">
        <v>55</v>
      </c>
      <c r="J10">
        <f>IF(D10&gt;50,D10-50,0)</f>
        <v>5</v>
      </c>
      <c r="K10" s="4">
        <f t="shared" si="0"/>
        <v>22000</v>
      </c>
      <c r="L10" s="4">
        <f t="shared" si="1"/>
        <v>1000</v>
      </c>
      <c r="M10" s="4">
        <f t="shared" si="2"/>
        <v>23000</v>
      </c>
    </row>
    <row r="11" spans="1:13" x14ac:dyDescent="0.25">
      <c r="A11" t="s">
        <v>13</v>
      </c>
      <c r="B11" t="s">
        <v>13</v>
      </c>
      <c r="C11" s="3">
        <v>450</v>
      </c>
      <c r="D11">
        <v>55.5</v>
      </c>
      <c r="J11">
        <f>IF(D11&gt;50,D11-50,0)</f>
        <v>5.5</v>
      </c>
      <c r="K11" s="4">
        <f t="shared" si="0"/>
        <v>24975</v>
      </c>
      <c r="L11" s="4">
        <f t="shared" si="1"/>
        <v>1237.5</v>
      </c>
      <c r="M11" s="4">
        <f t="shared" si="2"/>
        <v>26212.5</v>
      </c>
    </row>
    <row r="12" spans="1:13" x14ac:dyDescent="0.25">
      <c r="A12" t="s">
        <v>14</v>
      </c>
      <c r="B12" t="s">
        <v>14</v>
      </c>
      <c r="C12" s="3">
        <v>500</v>
      </c>
      <c r="D12">
        <v>60</v>
      </c>
      <c r="J12">
        <f>IF(D12&gt;50,D12-50,0)</f>
        <v>10</v>
      </c>
      <c r="K12" s="4">
        <f t="shared" si="0"/>
        <v>30000</v>
      </c>
      <c r="L12" s="4">
        <f t="shared" si="1"/>
        <v>2500</v>
      </c>
      <c r="M12" s="4">
        <f t="shared" si="2"/>
        <v>32500</v>
      </c>
    </row>
    <row r="13" spans="1:13" x14ac:dyDescent="0.25">
      <c r="A13" t="s">
        <v>15</v>
      </c>
      <c r="B13" t="s">
        <v>15</v>
      </c>
      <c r="C13" s="3">
        <v>550</v>
      </c>
      <c r="D13">
        <v>60.5</v>
      </c>
      <c r="J13">
        <f>IF(D13&gt;50,D13-50,0)</f>
        <v>10.5</v>
      </c>
      <c r="K13" s="4">
        <f t="shared" si="0"/>
        <v>33275</v>
      </c>
      <c r="L13" s="4">
        <f t="shared" si="1"/>
        <v>2887.5</v>
      </c>
      <c r="M13" s="4">
        <f t="shared" si="2"/>
        <v>36162.5</v>
      </c>
    </row>
    <row r="14" spans="1:13" x14ac:dyDescent="0.25">
      <c r="A14" t="s">
        <v>16</v>
      </c>
      <c r="B14" t="s">
        <v>16</v>
      </c>
      <c r="C14" s="3">
        <v>600</v>
      </c>
      <c r="D14">
        <v>70</v>
      </c>
      <c r="J14">
        <f>IF(D14&gt;50,D14-50,0)</f>
        <v>20</v>
      </c>
      <c r="K14" s="4">
        <f t="shared" si="0"/>
        <v>42000</v>
      </c>
      <c r="L14" s="4">
        <f t="shared" si="1"/>
        <v>6000</v>
      </c>
      <c r="M14" s="4">
        <f t="shared" si="2"/>
        <v>48000</v>
      </c>
    </row>
    <row r="15" spans="1:13" x14ac:dyDescent="0.25">
      <c r="A15" t="s">
        <v>17</v>
      </c>
      <c r="B15" t="s">
        <v>17</v>
      </c>
      <c r="C15" s="3">
        <v>650</v>
      </c>
      <c r="D15">
        <v>70.5</v>
      </c>
      <c r="J15">
        <f>IF(D15&gt;50,D15-50,0)</f>
        <v>20.5</v>
      </c>
      <c r="K15" s="4">
        <f t="shared" si="0"/>
        <v>45825</v>
      </c>
      <c r="L15" s="4">
        <f t="shared" si="1"/>
        <v>6662.5</v>
      </c>
      <c r="M15" s="4">
        <f t="shared" si="2"/>
        <v>52487.5</v>
      </c>
    </row>
    <row r="16" spans="1:13" x14ac:dyDescent="0.25">
      <c r="A16" t="s">
        <v>18</v>
      </c>
      <c r="B16" t="s">
        <v>18</v>
      </c>
      <c r="C16" s="3">
        <v>700</v>
      </c>
      <c r="D16">
        <v>80</v>
      </c>
      <c r="J16">
        <f>IF(D16&gt;50,D16-50,0)</f>
        <v>30</v>
      </c>
      <c r="K16" s="4">
        <f t="shared" si="0"/>
        <v>56000</v>
      </c>
      <c r="L16" s="4">
        <f t="shared" si="1"/>
        <v>10500</v>
      </c>
      <c r="M16" s="4">
        <f t="shared" si="2"/>
        <v>66500</v>
      </c>
    </row>
    <row r="17" spans="1:13" x14ac:dyDescent="0.25">
      <c r="A17" t="s">
        <v>19</v>
      </c>
      <c r="B17" t="s">
        <v>19</v>
      </c>
      <c r="C17" s="3">
        <v>750</v>
      </c>
      <c r="D17">
        <v>80.5</v>
      </c>
      <c r="J17">
        <f>IF(D17&gt;50,D17-50,0)</f>
        <v>30.5</v>
      </c>
      <c r="K17" s="4">
        <f t="shared" si="0"/>
        <v>60375</v>
      </c>
      <c r="L17" s="4">
        <f t="shared" si="1"/>
        <v>11437.5</v>
      </c>
      <c r="M17" s="4">
        <f t="shared" si="2"/>
        <v>71812.5</v>
      </c>
    </row>
    <row r="18" spans="1:13" x14ac:dyDescent="0.25">
      <c r="A18" t="s">
        <v>20</v>
      </c>
      <c r="B18" t="s">
        <v>20</v>
      </c>
      <c r="C18" s="3">
        <v>850</v>
      </c>
      <c r="D18">
        <v>85</v>
      </c>
      <c r="J18">
        <f>IF(D18&gt;50,D18-50,0)</f>
        <v>35</v>
      </c>
      <c r="K18" s="4">
        <f t="shared" si="0"/>
        <v>72250</v>
      </c>
      <c r="L18" s="4">
        <f t="shared" si="1"/>
        <v>14875</v>
      </c>
      <c r="M18" s="4">
        <f t="shared" si="2"/>
        <v>87125</v>
      </c>
    </row>
    <row r="19" spans="1:13" x14ac:dyDescent="0.25">
      <c r="A19" t="s">
        <v>21</v>
      </c>
      <c r="B19" t="s">
        <v>21</v>
      </c>
      <c r="C19" s="3">
        <v>900</v>
      </c>
      <c r="D19">
        <v>85.5</v>
      </c>
      <c r="J19">
        <f>IF(D19&gt;50,D19-50,0)</f>
        <v>35.5</v>
      </c>
      <c r="K19" s="4">
        <f t="shared" si="0"/>
        <v>76950</v>
      </c>
      <c r="L19" s="4">
        <f t="shared" si="1"/>
        <v>15975</v>
      </c>
      <c r="M19" s="4">
        <f t="shared" si="2"/>
        <v>92925</v>
      </c>
    </row>
    <row r="20" spans="1:13" x14ac:dyDescent="0.25">
      <c r="A20" t="s">
        <v>22</v>
      </c>
      <c r="B20" t="s">
        <v>22</v>
      </c>
      <c r="C20" s="3">
        <v>1000</v>
      </c>
      <c r="D20">
        <v>90</v>
      </c>
      <c r="J20">
        <f>IF(D20&gt;50,D20-50,0)</f>
        <v>40</v>
      </c>
      <c r="K20" s="4">
        <f t="shared" si="0"/>
        <v>90000</v>
      </c>
      <c r="L20" s="4">
        <f t="shared" si="1"/>
        <v>20000</v>
      </c>
      <c r="M20" s="4">
        <f t="shared" si="2"/>
        <v>110000</v>
      </c>
    </row>
    <row r="22" spans="1:13" x14ac:dyDescent="0.25">
      <c r="A22" t="s">
        <v>23</v>
      </c>
      <c r="C22" s="4">
        <f>MAX(C4:C20)</f>
        <v>1000</v>
      </c>
      <c r="D22" s="5">
        <f>MAX(D4:D20)</f>
        <v>90</v>
      </c>
      <c r="E22" s="5"/>
      <c r="F22" s="5"/>
      <c r="G22" s="5"/>
      <c r="H22" s="5"/>
      <c r="I22" s="5"/>
      <c r="J22" s="5"/>
      <c r="K22" s="4">
        <f>MAX(K4:K20)</f>
        <v>90000</v>
      </c>
      <c r="L22" s="4">
        <f t="shared" ref="L22:M22" si="3">MAX(L4:L20)</f>
        <v>20000</v>
      </c>
      <c r="M22" s="4">
        <f t="shared" si="3"/>
        <v>110000</v>
      </c>
    </row>
    <row r="23" spans="1:13" x14ac:dyDescent="0.25">
      <c r="A23" t="s">
        <v>24</v>
      </c>
      <c r="C23" s="4">
        <f>MIN(C4:C20)</f>
        <v>100</v>
      </c>
      <c r="D23" s="5">
        <f>MIN(D4:D20)</f>
        <v>40</v>
      </c>
      <c r="E23" s="5"/>
      <c r="F23" s="5"/>
      <c r="G23" s="5"/>
      <c r="H23" s="5"/>
      <c r="I23" s="5"/>
      <c r="J23" s="5"/>
      <c r="K23" s="4">
        <f>MIN(K4:K20)</f>
        <v>4000</v>
      </c>
      <c r="L23" s="4">
        <f t="shared" ref="L23:M23" si="4">MIN(L4:L20)</f>
        <v>0</v>
      </c>
      <c r="M23" s="4">
        <f t="shared" si="4"/>
        <v>4000</v>
      </c>
    </row>
    <row r="24" spans="1:13" x14ac:dyDescent="0.25">
      <c r="A24" t="s">
        <v>25</v>
      </c>
      <c r="C24" s="4">
        <f>AVERAGE(C4:C20)</f>
        <v>511.76470588235293</v>
      </c>
      <c r="D24" s="5">
        <f>AVERAGE(D4:D20)</f>
        <v>62.588235294117645</v>
      </c>
      <c r="E24" s="5"/>
      <c r="F24" s="5"/>
      <c r="G24" s="5"/>
      <c r="H24" s="5"/>
      <c r="I24" s="5"/>
      <c r="J24" s="5"/>
      <c r="K24" s="4">
        <f>AVERAGE(K4:K20)</f>
        <v>36280.882352941175</v>
      </c>
      <c r="L24" s="4">
        <f t="shared" ref="L24:M24" si="5">AVERAGE(L4:L20)</f>
        <v>5480.1470588235297</v>
      </c>
      <c r="M24" s="4">
        <f t="shared" si="5"/>
        <v>41761.029411764706</v>
      </c>
    </row>
    <row r="25" spans="1:13" x14ac:dyDescent="0.25">
      <c r="A25" t="s">
        <v>26</v>
      </c>
      <c r="C25" s="4">
        <f>SUM(C4:C20)</f>
        <v>8700</v>
      </c>
      <c r="D25" s="5">
        <f>SUM(D4:D20)</f>
        <v>1064</v>
      </c>
      <c r="E25" s="5"/>
      <c r="F25" s="5"/>
      <c r="G25" s="5"/>
      <c r="H25" s="5"/>
      <c r="I25" s="5"/>
      <c r="J25" s="5"/>
      <c r="K25" s="4">
        <f>SUM(K4:K20)</f>
        <v>616775</v>
      </c>
      <c r="L25" s="4">
        <f t="shared" ref="L25:M25" si="6">SUM(L4:L20)</f>
        <v>93162.5</v>
      </c>
      <c r="M25" s="4">
        <f t="shared" si="6"/>
        <v>709937.5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Jessie Corkery</dc:creator>
  <cp:lastModifiedBy>Jessie Corkery</cp:lastModifiedBy>
  <dcterms:created xsi:type="dcterms:W3CDTF">2026-04-28T17:14:11Z</dcterms:created>
  <dcterms:modified xsi:type="dcterms:W3CDTF">2026-04-28T18:05:04Z</dcterms:modified>
</cp:coreProperties>
</file>