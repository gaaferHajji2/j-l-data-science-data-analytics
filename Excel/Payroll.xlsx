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s\j-l-data-science-data-analytics\Excel\"/>
    </mc:Choice>
  </mc:AlternateContent>
  <xr:revisionPtr revIDLastSave="0" documentId="13_ncr:1_{726AE16B-FC21-4582-800B-62FF8BF89EE2}" xr6:coauthVersionLast="47" xr6:coauthVersionMax="47" xr10:uidLastSave="{00000000-0000-0000-0000-000000000000}"/>
  <bookViews>
    <workbookView xWindow="-108" yWindow="-108" windowWidth="23256" windowHeight="12456" xr2:uid="{F7F01B57-B888-4E05-A171-2C1A91DBF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N22" i="1"/>
  <c r="S22" i="1"/>
  <c r="X22" i="1"/>
  <c r="I23" i="1"/>
  <c r="N23" i="1"/>
  <c r="S23" i="1"/>
  <c r="X23" i="1"/>
  <c r="I24" i="1"/>
  <c r="N24" i="1"/>
  <c r="S24" i="1"/>
  <c r="X24" i="1"/>
  <c r="I25" i="1"/>
  <c r="N25" i="1"/>
  <c r="S25" i="1"/>
  <c r="X25" i="1"/>
  <c r="Z3" i="1"/>
  <c r="AA3" i="1" s="1"/>
  <c r="AB3" i="1" s="1"/>
  <c r="Y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4" i="1"/>
  <c r="T3" i="1"/>
  <c r="U3" i="1" s="1"/>
  <c r="V3" i="1" s="1"/>
  <c r="W3" i="1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4" i="1"/>
  <c r="O3" i="1"/>
  <c r="P3" i="1" s="1"/>
  <c r="Q3" i="1" s="1"/>
  <c r="R3" i="1" s="1"/>
  <c r="J3" i="1"/>
  <c r="K3" i="1" s="1"/>
  <c r="L3" i="1" s="1"/>
  <c r="M3" i="1" s="1"/>
  <c r="F4" i="1"/>
  <c r="K4" i="1" s="1"/>
  <c r="U4" i="1" s="1"/>
  <c r="G4" i="1"/>
  <c r="L4" i="1" s="1"/>
  <c r="V4" i="1" s="1"/>
  <c r="H4" i="1"/>
  <c r="M4" i="1" s="1"/>
  <c r="W4" i="1" s="1"/>
  <c r="F5" i="1"/>
  <c r="K5" i="1" s="1"/>
  <c r="U5" i="1" s="1"/>
  <c r="G5" i="1"/>
  <c r="L5" i="1" s="1"/>
  <c r="V5" i="1" s="1"/>
  <c r="H5" i="1"/>
  <c r="M5" i="1" s="1"/>
  <c r="W5" i="1" s="1"/>
  <c r="F6" i="1"/>
  <c r="K6" i="1" s="1"/>
  <c r="U6" i="1" s="1"/>
  <c r="G6" i="1"/>
  <c r="L6" i="1" s="1"/>
  <c r="V6" i="1" s="1"/>
  <c r="H6" i="1"/>
  <c r="M6" i="1" s="1"/>
  <c r="W6" i="1" s="1"/>
  <c r="F7" i="1"/>
  <c r="K7" i="1" s="1"/>
  <c r="U7" i="1" s="1"/>
  <c r="G7" i="1"/>
  <c r="L7" i="1" s="1"/>
  <c r="V7" i="1" s="1"/>
  <c r="H7" i="1"/>
  <c r="M7" i="1" s="1"/>
  <c r="W7" i="1" s="1"/>
  <c r="F8" i="1"/>
  <c r="K8" i="1" s="1"/>
  <c r="U8" i="1" s="1"/>
  <c r="G8" i="1"/>
  <c r="L8" i="1" s="1"/>
  <c r="V8" i="1" s="1"/>
  <c r="H8" i="1"/>
  <c r="M8" i="1" s="1"/>
  <c r="W8" i="1" s="1"/>
  <c r="F9" i="1"/>
  <c r="K9" i="1" s="1"/>
  <c r="U9" i="1" s="1"/>
  <c r="G9" i="1"/>
  <c r="L9" i="1" s="1"/>
  <c r="V9" i="1" s="1"/>
  <c r="H9" i="1"/>
  <c r="M9" i="1" s="1"/>
  <c r="W9" i="1" s="1"/>
  <c r="F10" i="1"/>
  <c r="K10" i="1" s="1"/>
  <c r="U10" i="1" s="1"/>
  <c r="G10" i="1"/>
  <c r="L10" i="1" s="1"/>
  <c r="V10" i="1" s="1"/>
  <c r="H10" i="1"/>
  <c r="M10" i="1" s="1"/>
  <c r="W10" i="1" s="1"/>
  <c r="F11" i="1"/>
  <c r="K11" i="1" s="1"/>
  <c r="U11" i="1" s="1"/>
  <c r="G11" i="1"/>
  <c r="L11" i="1" s="1"/>
  <c r="V11" i="1" s="1"/>
  <c r="H11" i="1"/>
  <c r="M11" i="1" s="1"/>
  <c r="W11" i="1" s="1"/>
  <c r="F12" i="1"/>
  <c r="K12" i="1" s="1"/>
  <c r="U12" i="1" s="1"/>
  <c r="G12" i="1"/>
  <c r="L12" i="1" s="1"/>
  <c r="V12" i="1" s="1"/>
  <c r="H12" i="1"/>
  <c r="M12" i="1" s="1"/>
  <c r="W12" i="1" s="1"/>
  <c r="F13" i="1"/>
  <c r="K13" i="1" s="1"/>
  <c r="U13" i="1" s="1"/>
  <c r="G13" i="1"/>
  <c r="L13" i="1" s="1"/>
  <c r="V13" i="1" s="1"/>
  <c r="H13" i="1"/>
  <c r="M13" i="1" s="1"/>
  <c r="W13" i="1" s="1"/>
  <c r="F14" i="1"/>
  <c r="K14" i="1" s="1"/>
  <c r="U14" i="1" s="1"/>
  <c r="G14" i="1"/>
  <c r="L14" i="1" s="1"/>
  <c r="V14" i="1" s="1"/>
  <c r="H14" i="1"/>
  <c r="M14" i="1" s="1"/>
  <c r="W14" i="1" s="1"/>
  <c r="F15" i="1"/>
  <c r="K15" i="1" s="1"/>
  <c r="U15" i="1" s="1"/>
  <c r="G15" i="1"/>
  <c r="L15" i="1" s="1"/>
  <c r="V15" i="1" s="1"/>
  <c r="H15" i="1"/>
  <c r="M15" i="1" s="1"/>
  <c r="W15" i="1" s="1"/>
  <c r="F16" i="1"/>
  <c r="K16" i="1" s="1"/>
  <c r="U16" i="1" s="1"/>
  <c r="G16" i="1"/>
  <c r="L16" i="1" s="1"/>
  <c r="V16" i="1" s="1"/>
  <c r="H16" i="1"/>
  <c r="M16" i="1" s="1"/>
  <c r="W16" i="1" s="1"/>
  <c r="F17" i="1"/>
  <c r="K17" i="1" s="1"/>
  <c r="U17" i="1" s="1"/>
  <c r="G17" i="1"/>
  <c r="L17" i="1" s="1"/>
  <c r="V17" i="1" s="1"/>
  <c r="H17" i="1"/>
  <c r="M17" i="1" s="1"/>
  <c r="W17" i="1" s="1"/>
  <c r="F18" i="1"/>
  <c r="K18" i="1" s="1"/>
  <c r="U18" i="1" s="1"/>
  <c r="G18" i="1"/>
  <c r="L18" i="1" s="1"/>
  <c r="V18" i="1" s="1"/>
  <c r="H18" i="1"/>
  <c r="M18" i="1" s="1"/>
  <c r="W18" i="1" s="1"/>
  <c r="F19" i="1"/>
  <c r="K19" i="1" s="1"/>
  <c r="U19" i="1" s="1"/>
  <c r="G19" i="1"/>
  <c r="L19" i="1" s="1"/>
  <c r="V19" i="1" s="1"/>
  <c r="H19" i="1"/>
  <c r="M19" i="1" s="1"/>
  <c r="W19" i="1" s="1"/>
  <c r="F20" i="1"/>
  <c r="K20" i="1" s="1"/>
  <c r="U20" i="1" s="1"/>
  <c r="G20" i="1"/>
  <c r="L20" i="1" s="1"/>
  <c r="V20" i="1" s="1"/>
  <c r="H20" i="1"/>
  <c r="M20" i="1" s="1"/>
  <c r="W20" i="1" s="1"/>
  <c r="E5" i="1"/>
  <c r="J5" i="1" s="1"/>
  <c r="T5" i="1" s="1"/>
  <c r="E6" i="1"/>
  <c r="J6" i="1" s="1"/>
  <c r="T6" i="1" s="1"/>
  <c r="E7" i="1"/>
  <c r="J7" i="1" s="1"/>
  <c r="T7" i="1" s="1"/>
  <c r="E8" i="1"/>
  <c r="J8" i="1" s="1"/>
  <c r="T8" i="1" s="1"/>
  <c r="E9" i="1"/>
  <c r="J9" i="1" s="1"/>
  <c r="T9" i="1" s="1"/>
  <c r="E10" i="1"/>
  <c r="J10" i="1" s="1"/>
  <c r="T10" i="1" s="1"/>
  <c r="E11" i="1"/>
  <c r="J11" i="1" s="1"/>
  <c r="T11" i="1" s="1"/>
  <c r="E12" i="1"/>
  <c r="J12" i="1" s="1"/>
  <c r="T12" i="1" s="1"/>
  <c r="E13" i="1"/>
  <c r="J13" i="1" s="1"/>
  <c r="T13" i="1" s="1"/>
  <c r="E14" i="1"/>
  <c r="J14" i="1" s="1"/>
  <c r="T14" i="1" s="1"/>
  <c r="E15" i="1"/>
  <c r="J15" i="1" s="1"/>
  <c r="T15" i="1" s="1"/>
  <c r="E16" i="1"/>
  <c r="J16" i="1" s="1"/>
  <c r="T16" i="1" s="1"/>
  <c r="E17" i="1"/>
  <c r="J17" i="1" s="1"/>
  <c r="T17" i="1" s="1"/>
  <c r="E18" i="1"/>
  <c r="J18" i="1" s="1"/>
  <c r="T18" i="1" s="1"/>
  <c r="E19" i="1"/>
  <c r="J19" i="1" s="1"/>
  <c r="T19" i="1" s="1"/>
  <c r="E20" i="1"/>
  <c r="J20" i="1" s="1"/>
  <c r="T20" i="1" s="1"/>
  <c r="E4" i="1"/>
  <c r="J4" i="1" s="1"/>
  <c r="T4" i="1" s="1"/>
  <c r="E3" i="1"/>
  <c r="F3" i="1" s="1"/>
  <c r="G3" i="1" s="1"/>
  <c r="H3" i="1" s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D25" i="1"/>
  <c r="D24" i="1"/>
  <c r="D23" i="1"/>
  <c r="D22" i="1"/>
  <c r="C25" i="1"/>
  <c r="C24" i="1"/>
  <c r="C23" i="1"/>
  <c r="C22" i="1"/>
  <c r="E25" i="1" l="1"/>
  <c r="E24" i="1"/>
  <c r="E23" i="1"/>
  <c r="T22" i="1"/>
  <c r="U22" i="1"/>
  <c r="W22" i="1"/>
  <c r="V22" i="1"/>
  <c r="G22" i="1"/>
  <c r="U25" i="1"/>
  <c r="M25" i="1"/>
  <c r="U24" i="1"/>
  <c r="M24" i="1"/>
  <c r="U23" i="1"/>
  <c r="M23" i="1"/>
  <c r="M22" i="1"/>
  <c r="E22" i="1"/>
  <c r="T25" i="1"/>
  <c r="L25" i="1"/>
  <c r="H25" i="1"/>
  <c r="T24" i="1"/>
  <c r="L24" i="1"/>
  <c r="H24" i="1"/>
  <c r="T23" i="1"/>
  <c r="L23" i="1"/>
  <c r="H23" i="1"/>
  <c r="L22" i="1"/>
  <c r="H22" i="1"/>
  <c r="W25" i="1"/>
  <c r="K25" i="1"/>
  <c r="G25" i="1"/>
  <c r="W24" i="1"/>
  <c r="K24" i="1"/>
  <c r="G24" i="1"/>
  <c r="W23" i="1"/>
  <c r="K23" i="1"/>
  <c r="G23" i="1"/>
  <c r="K22" i="1"/>
  <c r="V25" i="1"/>
  <c r="J25" i="1"/>
  <c r="F25" i="1"/>
  <c r="V24" i="1"/>
  <c r="J24" i="1"/>
  <c r="F24" i="1"/>
  <c r="V23" i="1"/>
  <c r="J23" i="1"/>
  <c r="F23" i="1"/>
  <c r="J22" i="1"/>
  <c r="F22" i="1"/>
  <c r="R19" i="1"/>
  <c r="AB19" i="1" s="1"/>
  <c r="Q14" i="1"/>
  <c r="AA14" i="1" s="1"/>
  <c r="P9" i="1"/>
  <c r="Z9" i="1" s="1"/>
  <c r="Q18" i="1"/>
  <c r="AA18" i="1" s="1"/>
  <c r="P13" i="1"/>
  <c r="Z13" i="1" s="1"/>
  <c r="R7" i="1"/>
  <c r="AB7" i="1" s="1"/>
  <c r="P17" i="1"/>
  <c r="Z17" i="1" s="1"/>
  <c r="R11" i="1"/>
  <c r="AB11" i="1" s="1"/>
  <c r="Q6" i="1"/>
  <c r="AA6" i="1" s="1"/>
  <c r="O8" i="1"/>
  <c r="Y8" i="1" s="1"/>
  <c r="R15" i="1"/>
  <c r="AB15" i="1" s="1"/>
  <c r="Q10" i="1"/>
  <c r="AA10" i="1" s="1"/>
  <c r="P5" i="1"/>
  <c r="Z5" i="1" s="1"/>
  <c r="O20" i="1"/>
  <c r="Y20" i="1" s="1"/>
  <c r="R20" i="1"/>
  <c r="AB20" i="1" s="1"/>
  <c r="Q19" i="1"/>
  <c r="AA19" i="1" s="1"/>
  <c r="P18" i="1"/>
  <c r="Z18" i="1" s="1"/>
  <c r="R16" i="1"/>
  <c r="AB16" i="1" s="1"/>
  <c r="Q15" i="1"/>
  <c r="AA15" i="1" s="1"/>
  <c r="P14" i="1"/>
  <c r="Z14" i="1" s="1"/>
  <c r="R12" i="1"/>
  <c r="AB12" i="1" s="1"/>
  <c r="Q11" i="1"/>
  <c r="AA11" i="1" s="1"/>
  <c r="P10" i="1"/>
  <c r="Z10" i="1" s="1"/>
  <c r="R8" i="1"/>
  <c r="AB8" i="1" s="1"/>
  <c r="Q7" i="1"/>
  <c r="AA7" i="1" s="1"/>
  <c r="P6" i="1"/>
  <c r="Z6" i="1" s="1"/>
  <c r="R4" i="1"/>
  <c r="O16" i="1"/>
  <c r="Y16" i="1" s="1"/>
  <c r="Q20" i="1"/>
  <c r="AA20" i="1" s="1"/>
  <c r="P19" i="1"/>
  <c r="Z19" i="1" s="1"/>
  <c r="R17" i="1"/>
  <c r="AB17" i="1" s="1"/>
  <c r="Q16" i="1"/>
  <c r="AA16" i="1" s="1"/>
  <c r="P15" i="1"/>
  <c r="Z15" i="1" s="1"/>
  <c r="R13" i="1"/>
  <c r="AB13" i="1" s="1"/>
  <c r="Q12" i="1"/>
  <c r="AA12" i="1" s="1"/>
  <c r="P11" i="1"/>
  <c r="Z11" i="1" s="1"/>
  <c r="R9" i="1"/>
  <c r="AB9" i="1" s="1"/>
  <c r="Q8" i="1"/>
  <c r="AA8" i="1" s="1"/>
  <c r="P7" i="1"/>
  <c r="Z7" i="1" s="1"/>
  <c r="R5" i="1"/>
  <c r="AB5" i="1" s="1"/>
  <c r="Q4" i="1"/>
  <c r="O12" i="1"/>
  <c r="Y12" i="1" s="1"/>
  <c r="P20" i="1"/>
  <c r="Z20" i="1" s="1"/>
  <c r="R18" i="1"/>
  <c r="AB18" i="1" s="1"/>
  <c r="Q17" i="1"/>
  <c r="AA17" i="1" s="1"/>
  <c r="P16" i="1"/>
  <c r="Z16" i="1" s="1"/>
  <c r="R14" i="1"/>
  <c r="AB14" i="1" s="1"/>
  <c r="Q13" i="1"/>
  <c r="AA13" i="1" s="1"/>
  <c r="P12" i="1"/>
  <c r="Z12" i="1" s="1"/>
  <c r="R10" i="1"/>
  <c r="AB10" i="1" s="1"/>
  <c r="Q9" i="1"/>
  <c r="AA9" i="1" s="1"/>
  <c r="P8" i="1"/>
  <c r="Z8" i="1" s="1"/>
  <c r="R6" i="1"/>
  <c r="AB6" i="1" s="1"/>
  <c r="Q5" i="1"/>
  <c r="AA5" i="1" s="1"/>
  <c r="P4" i="1"/>
  <c r="O19" i="1"/>
  <c r="Y19" i="1" s="1"/>
  <c r="O15" i="1"/>
  <c r="Y15" i="1" s="1"/>
  <c r="O11" i="1"/>
  <c r="Y11" i="1" s="1"/>
  <c r="O7" i="1"/>
  <c r="Y7" i="1" s="1"/>
  <c r="O18" i="1"/>
  <c r="Y18" i="1" s="1"/>
  <c r="O14" i="1"/>
  <c r="Y14" i="1" s="1"/>
  <c r="O10" i="1"/>
  <c r="Y10" i="1" s="1"/>
  <c r="O6" i="1"/>
  <c r="Y6" i="1" s="1"/>
  <c r="O17" i="1"/>
  <c r="Y17" i="1" s="1"/>
  <c r="O13" i="1"/>
  <c r="Y13" i="1" s="1"/>
  <c r="O9" i="1"/>
  <c r="Y9" i="1" s="1"/>
  <c r="O5" i="1"/>
  <c r="Y5" i="1" s="1"/>
  <c r="O4" i="1"/>
  <c r="X18" i="1"/>
  <c r="X7" i="1"/>
  <c r="X11" i="1"/>
  <c r="X15" i="1"/>
  <c r="X19" i="1"/>
  <c r="X6" i="1"/>
  <c r="X10" i="1"/>
  <c r="X14" i="1"/>
  <c r="X17" i="1"/>
  <c r="X8" i="1"/>
  <c r="X12" i="1"/>
  <c r="X16" i="1"/>
  <c r="X5" i="1"/>
  <c r="X9" i="1"/>
  <c r="X13" i="1"/>
  <c r="X20" i="1"/>
  <c r="X4" i="1"/>
  <c r="AD17" i="1" l="1"/>
  <c r="AD18" i="1"/>
  <c r="AD19" i="1"/>
  <c r="AD9" i="1"/>
  <c r="AD15" i="1"/>
  <c r="AD7" i="1"/>
  <c r="AD16" i="1"/>
  <c r="AD6" i="1"/>
  <c r="AD12" i="1"/>
  <c r="AD5" i="1"/>
  <c r="AD10" i="1"/>
  <c r="AD11" i="1"/>
  <c r="AD20" i="1"/>
  <c r="AD8" i="1"/>
  <c r="AD13" i="1"/>
  <c r="AD14" i="1"/>
  <c r="Y4" i="1"/>
  <c r="O22" i="1"/>
  <c r="O23" i="1"/>
  <c r="O24" i="1"/>
  <c r="O25" i="1"/>
  <c r="AB4" i="1"/>
  <c r="R22" i="1"/>
  <c r="R23" i="1"/>
  <c r="R24" i="1"/>
  <c r="R25" i="1"/>
  <c r="AA4" i="1"/>
  <c r="Q22" i="1"/>
  <c r="Q23" i="1"/>
  <c r="Q24" i="1"/>
  <c r="Q25" i="1"/>
  <c r="Z4" i="1"/>
  <c r="P22" i="1"/>
  <c r="P23" i="1"/>
  <c r="P24" i="1"/>
  <c r="P25" i="1"/>
  <c r="AD4" i="1" l="1"/>
  <c r="AA22" i="1"/>
  <c r="AA23" i="1"/>
  <c r="AA24" i="1"/>
  <c r="AA25" i="1"/>
  <c r="Z22" i="1"/>
  <c r="Z23" i="1"/>
  <c r="Z24" i="1"/>
  <c r="Z25" i="1"/>
  <c r="AB22" i="1"/>
  <c r="AB23" i="1"/>
  <c r="AB24" i="1"/>
  <c r="AB25" i="1"/>
  <c r="Y22" i="1"/>
  <c r="Y23" i="1"/>
  <c r="Y24" i="1"/>
  <c r="Y25" i="1"/>
  <c r="AD22" i="1" l="1"/>
  <c r="AD24" i="1"/>
  <c r="AD25" i="1"/>
  <c r="AD23" i="1"/>
</calcChain>
</file>

<file path=xl/sharedStrings.xml><?xml version="1.0" encoding="utf-8"?>
<sst xmlns="http://schemas.openxmlformats.org/spreadsheetml/2006/main" count="49" uniqueCount="32">
  <si>
    <t>Employee Payroll</t>
  </si>
  <si>
    <t>First Name</t>
  </si>
  <si>
    <t>Last Name</t>
  </si>
  <si>
    <t>Hourly Wage</t>
  </si>
  <si>
    <t>House Worked</t>
  </si>
  <si>
    <t>Pay</t>
  </si>
  <si>
    <t>JLoka-02</t>
  </si>
  <si>
    <t>JLoka-01</t>
  </si>
  <si>
    <t>JLoka-03</t>
  </si>
  <si>
    <t>JLoka-04</t>
  </si>
  <si>
    <t>JLoka-05</t>
  </si>
  <si>
    <t>JLoka-06</t>
  </si>
  <si>
    <t>JLoka-07</t>
  </si>
  <si>
    <t>JLoka-08</t>
  </si>
  <si>
    <t>JLoka-09</t>
  </si>
  <si>
    <t>JLoka-10</t>
  </si>
  <si>
    <t>JLoka-11</t>
  </si>
  <si>
    <t>JLoka-12</t>
  </si>
  <si>
    <t>JLoka-13</t>
  </si>
  <si>
    <t>JLoka-14</t>
  </si>
  <si>
    <t>JLoka-15</t>
  </si>
  <si>
    <t>JLoka-16</t>
  </si>
  <si>
    <t>JLoka-17</t>
  </si>
  <si>
    <t>Max</t>
  </si>
  <si>
    <t>Min</t>
  </si>
  <si>
    <t>Average</t>
  </si>
  <si>
    <t>Total</t>
  </si>
  <si>
    <t>Jafar Loka</t>
  </si>
  <si>
    <t>Overtime Hours</t>
  </si>
  <si>
    <t>Overtime Bonus</t>
  </si>
  <si>
    <t>Total Pay</t>
  </si>
  <si>
    <t>Jan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</si>
</sst>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" fontId="0" fillId="2" borderId="1" xfId="0" applyNumberFormat="1" applyFill="1" applyBorder="1"/>
    <xf numFmtId="0" fontId="0" fillId="2" borderId="1" xfId="0" applyFill="1" applyBorder="1"/>
    <xf numFmtId="16" fontId="0" fillId="3" borderId="1" xfId="0" applyNumberFormat="1" applyFill="1" applyBorder="1"/>
    <xf numFmtId="0" fontId="0" fillId="3" borderId="1" xfId="0" applyFill="1" applyBorder="1"/>
    <xf numFmtId="16" fontId="0" fillId="4" borderId="1" xfId="0" applyNumberFormat="1" applyFill="1" applyBorder="1"/>
    <xf numFmtId="44" fontId="0" fillId="4" borderId="1" xfId="0" applyNumberFormat="1" applyFill="1" applyBorder="1"/>
    <xf numFmtId="16" fontId="0" fillId="6" borderId="1" xfId="0" applyNumberFormat="1" applyFill="1" applyBorder="1"/>
    <xf numFmtId="44" fontId="0" fillId="6" borderId="1" xfId="0" applyNumberFormat="1" applyFill="1" applyBorder="1"/>
    <xf numFmtId="16" fontId="0" fillId="6" borderId="2" xfId="0" applyNumberFormat="1" applyFill="1" applyBorder="1"/>
    <xf numFmtId="16" fontId="0" fillId="6" borderId="4" xfId="0" applyNumberFormat="1" applyFill="1" applyBorder="1"/>
    <xf numFmtId="44" fontId="0" fillId="6" borderId="5" xfId="0" applyNumberFormat="1" applyFill="1" applyBorder="1"/>
    <xf numFmtId="44" fontId="0" fillId="6" borderId="2" xfId="0" applyNumberFormat="1" applyFill="1" applyBorder="1"/>
    <xf numFmtId="0" fontId="0" fillId="5" borderId="6" xfId="0" applyFill="1" applyBorder="1"/>
    <xf numFmtId="16" fontId="0" fillId="7" borderId="3" xfId="0" applyNumberFormat="1" applyFill="1" applyBorder="1"/>
    <xf numFmtId="44" fontId="0" fillId="7" borderId="3" xfId="0" applyNumberFormat="1" applyFill="1" applyBorder="1"/>
    <xf numFmtId="0" fontId="0" fillId="0" borderId="0" xfId="0" applyAlignment="1">
      <alignment horizontal="center"/>
    </xf>
    <xf numFmtId="43" fontId="0" fillId="0" borderId="0" xfId="1" applyNumberFormat="1" applyFont="1"/>
    <xf numFmtId="4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8FA1-4119-4E7F-B14C-64FC004B9D39}">
  <sheetPr>
    <pageSetUpPr fitToPage="1"/>
  </sheetPr>
  <dimension ref="A1:AD25"/>
  <sheetViews>
    <sheetView tabSelected="1" zoomScale="80" zoomScaleNormal="80" workbookViewId="0">
      <selection activeCell="S4" sqref="S4"/>
    </sheetView>
  </sheetViews>
  <sheetFormatPr defaultRowHeight="14.4" x14ac:dyDescent="0.3"/>
  <cols>
    <col min="1" max="1" width="12.109375" customWidth="1"/>
    <col min="2" max="2" width="14" customWidth="1"/>
    <col min="3" max="3" width="14.88671875" customWidth="1"/>
    <col min="4" max="8" width="14.6640625" customWidth="1"/>
    <col min="9" max="13" width="19" customWidth="1"/>
    <col min="14" max="18" width="14.5546875" customWidth="1"/>
    <col min="19" max="23" width="18.109375" customWidth="1"/>
    <col min="24" max="24" width="17" customWidth="1"/>
    <col min="25" max="25" width="14.44140625" bestFit="1" customWidth="1"/>
    <col min="26" max="26" width="13.33203125" bestFit="1" customWidth="1"/>
    <col min="27" max="27" width="14.44140625" bestFit="1" customWidth="1"/>
    <col min="28" max="28" width="13.33203125" bestFit="1" customWidth="1"/>
    <col min="30" max="30" width="18.5546875" customWidth="1"/>
    <col min="31" max="31" width="22" customWidth="1"/>
  </cols>
  <sheetData>
    <row r="1" spans="1:30" x14ac:dyDescent="0.3">
      <c r="A1" s="19" t="s">
        <v>0</v>
      </c>
      <c r="B1" s="19"/>
      <c r="C1" t="s">
        <v>27</v>
      </c>
    </row>
    <row r="2" spans="1:30" x14ac:dyDescent="0.3">
      <c r="D2" t="s">
        <v>4</v>
      </c>
      <c r="I2" t="s">
        <v>28</v>
      </c>
      <c r="N2" t="s">
        <v>5</v>
      </c>
      <c r="S2" t="s">
        <v>29</v>
      </c>
      <c r="X2" t="s">
        <v>30</v>
      </c>
      <c r="AD2" t="s">
        <v>31</v>
      </c>
    </row>
    <row r="3" spans="1:30" x14ac:dyDescent="0.3">
      <c r="A3" t="s">
        <v>1</v>
      </c>
      <c r="B3" t="s">
        <v>2</v>
      </c>
      <c r="C3" t="s">
        <v>3</v>
      </c>
      <c r="D3" s="4">
        <v>46023</v>
      </c>
      <c r="E3" s="4">
        <f>D3+7</f>
        <v>46030</v>
      </c>
      <c r="F3" s="4">
        <f t="shared" ref="F3:H3" si="0">E3+7</f>
        <v>46037</v>
      </c>
      <c r="G3" s="4">
        <f t="shared" si="0"/>
        <v>46044</v>
      </c>
      <c r="H3" s="4">
        <f t="shared" si="0"/>
        <v>46051</v>
      </c>
      <c r="I3" s="6">
        <v>46023</v>
      </c>
      <c r="J3" s="6">
        <f>I3+7</f>
        <v>46030</v>
      </c>
      <c r="K3" s="6">
        <f t="shared" ref="K3:M3" si="1">J3+7</f>
        <v>46037</v>
      </c>
      <c r="L3" s="6">
        <f t="shared" si="1"/>
        <v>46044</v>
      </c>
      <c r="M3" s="6">
        <f t="shared" si="1"/>
        <v>46051</v>
      </c>
      <c r="N3" s="8">
        <v>46023</v>
      </c>
      <c r="O3" s="8">
        <f>N3+7</f>
        <v>46030</v>
      </c>
      <c r="P3" s="8">
        <f t="shared" ref="P3:R3" si="2">O3+7</f>
        <v>46037</v>
      </c>
      <c r="Q3" s="8">
        <f t="shared" si="2"/>
        <v>46044</v>
      </c>
      <c r="R3" s="8">
        <f t="shared" si="2"/>
        <v>46051</v>
      </c>
      <c r="S3" s="10">
        <v>46023</v>
      </c>
      <c r="T3" s="10">
        <f>S3+7</f>
        <v>46030</v>
      </c>
      <c r="U3" s="10">
        <f t="shared" ref="U3:W3" si="3">T3+7</f>
        <v>46037</v>
      </c>
      <c r="V3" s="12">
        <f t="shared" si="3"/>
        <v>46044</v>
      </c>
      <c r="W3" s="13">
        <f t="shared" si="3"/>
        <v>46051</v>
      </c>
      <c r="X3" s="17">
        <v>46023</v>
      </c>
      <c r="Y3" s="17">
        <f>X3+7</f>
        <v>46030</v>
      </c>
      <c r="Z3" s="17">
        <f t="shared" ref="Z3:AB3" si="4">Y3+7</f>
        <v>46037</v>
      </c>
      <c r="AA3" s="17">
        <f t="shared" si="4"/>
        <v>46044</v>
      </c>
      <c r="AB3" s="17">
        <f t="shared" si="4"/>
        <v>46051</v>
      </c>
      <c r="AC3" s="16"/>
    </row>
    <row r="4" spans="1:30" x14ac:dyDescent="0.3">
      <c r="A4" t="s">
        <v>7</v>
      </c>
      <c r="B4" t="s">
        <v>7</v>
      </c>
      <c r="C4" s="1">
        <v>100</v>
      </c>
      <c r="D4" s="5">
        <v>40</v>
      </c>
      <c r="E4" s="5">
        <f ca="1">RANDBETWEEN(10, 90)</f>
        <v>60</v>
      </c>
      <c r="F4" s="5">
        <f t="shared" ref="F4:H4" ca="1" si="5">RANDBETWEEN(10, 90)</f>
        <v>40</v>
      </c>
      <c r="G4" s="5">
        <f t="shared" ca="1" si="5"/>
        <v>31</v>
      </c>
      <c r="H4" s="5">
        <f t="shared" ca="1" si="5"/>
        <v>16</v>
      </c>
      <c r="I4" s="7">
        <f t="shared" ref="I4:I20" si="6">IF(D4&gt;50,D4-50,0)</f>
        <v>0</v>
      </c>
      <c r="J4" s="7">
        <f t="shared" ref="J4:J20" ca="1" si="7">IF(E4&gt;50,E4-50,0)</f>
        <v>10</v>
      </c>
      <c r="K4" s="7">
        <f t="shared" ref="K4:K20" ca="1" si="8">IF(F4&gt;50,F4-50,0)</f>
        <v>0</v>
      </c>
      <c r="L4" s="7">
        <f t="shared" ref="L4:L20" ca="1" si="9">IF(G4&gt;50,G4-50,0)</f>
        <v>0</v>
      </c>
      <c r="M4" s="7">
        <f t="shared" ref="M4:M20" ca="1" si="10">IF(H4&gt;50,H4-50,0)</f>
        <v>0</v>
      </c>
      <c r="N4" s="9">
        <f>$C4*D4</f>
        <v>4000</v>
      </c>
      <c r="O4" s="9">
        <f ca="1">$C4*E4</f>
        <v>6000</v>
      </c>
      <c r="P4" s="9">
        <f t="shared" ref="P4:R19" ca="1" si="11">$C4*F4</f>
        <v>4000</v>
      </c>
      <c r="Q4" s="9">
        <f t="shared" ca="1" si="11"/>
        <v>3100</v>
      </c>
      <c r="R4" s="9">
        <f t="shared" ca="1" si="11"/>
        <v>1600</v>
      </c>
      <c r="S4" s="11">
        <f>0.5*$C4*I4</f>
        <v>0</v>
      </c>
      <c r="T4" s="11">
        <f ca="1">0.5*$C4*J4</f>
        <v>500</v>
      </c>
      <c r="U4" s="11">
        <f t="shared" ref="U4:W19" ca="1" si="12">0.5*$C4*K4</f>
        <v>0</v>
      </c>
      <c r="V4" s="11">
        <f t="shared" ca="1" si="12"/>
        <v>0</v>
      </c>
      <c r="W4" s="14">
        <f t="shared" ca="1" si="12"/>
        <v>0</v>
      </c>
      <c r="X4" s="18">
        <f t="shared" ref="X4:X20" si="13">N4+S4</f>
        <v>4000</v>
      </c>
      <c r="Y4" s="18">
        <f t="shared" ref="Y4:AB19" ca="1" si="14">O4+T4</f>
        <v>6500</v>
      </c>
      <c r="Z4" s="18">
        <f t="shared" ca="1" si="14"/>
        <v>4000</v>
      </c>
      <c r="AA4" s="18">
        <f ca="1">Q4+V4</f>
        <v>3100</v>
      </c>
      <c r="AB4" s="18">
        <f ca="1">R4+W4</f>
        <v>1600</v>
      </c>
      <c r="AC4" s="16"/>
      <c r="AD4" s="2">
        <f ca="1">SUM(X4:AB4)</f>
        <v>19200</v>
      </c>
    </row>
    <row r="5" spans="1:30" x14ac:dyDescent="0.3">
      <c r="A5" t="s">
        <v>6</v>
      </c>
      <c r="B5" t="s">
        <v>6</v>
      </c>
      <c r="C5" s="1">
        <v>150</v>
      </c>
      <c r="D5" s="5">
        <v>40.5</v>
      </c>
      <c r="E5" s="5">
        <f t="shared" ref="E5:H20" ca="1" si="15">RANDBETWEEN(10, 90)</f>
        <v>80</v>
      </c>
      <c r="F5" s="5">
        <f t="shared" ca="1" si="15"/>
        <v>74</v>
      </c>
      <c r="G5" s="5">
        <f t="shared" ca="1" si="15"/>
        <v>48</v>
      </c>
      <c r="H5" s="5">
        <f t="shared" ca="1" si="15"/>
        <v>67</v>
      </c>
      <c r="I5" s="7">
        <f t="shared" si="6"/>
        <v>0</v>
      </c>
      <c r="J5" s="7">
        <f t="shared" ca="1" si="7"/>
        <v>30</v>
      </c>
      <c r="K5" s="7">
        <f t="shared" ca="1" si="8"/>
        <v>24</v>
      </c>
      <c r="L5" s="7">
        <f t="shared" ca="1" si="9"/>
        <v>0</v>
      </c>
      <c r="M5" s="7">
        <f t="shared" ca="1" si="10"/>
        <v>17</v>
      </c>
      <c r="N5" s="9">
        <f t="shared" ref="N5:N20" si="16">$C5*D5</f>
        <v>6075</v>
      </c>
      <c r="O5" s="9">
        <f t="shared" ref="O5:O20" ca="1" si="17">$C5*E5</f>
        <v>12000</v>
      </c>
      <c r="P5" s="9">
        <f t="shared" ca="1" si="11"/>
        <v>11100</v>
      </c>
      <c r="Q5" s="9">
        <f t="shared" ca="1" si="11"/>
        <v>7200</v>
      </c>
      <c r="R5" s="9">
        <f t="shared" ca="1" si="11"/>
        <v>10050</v>
      </c>
      <c r="S5" s="11">
        <f t="shared" ref="S5:T20" si="18">0.5*$C5*I5</f>
        <v>0</v>
      </c>
      <c r="T5" s="11">
        <f t="shared" ca="1" si="18"/>
        <v>2250</v>
      </c>
      <c r="U5" s="11">
        <f t="shared" ca="1" si="12"/>
        <v>1800</v>
      </c>
      <c r="V5" s="11">
        <f t="shared" ca="1" si="12"/>
        <v>0</v>
      </c>
      <c r="W5" s="15">
        <f t="shared" ca="1" si="12"/>
        <v>1275</v>
      </c>
      <c r="X5" s="18">
        <f t="shared" si="13"/>
        <v>6075</v>
      </c>
      <c r="Y5" s="18">
        <f t="shared" ca="1" si="14"/>
        <v>14250</v>
      </c>
      <c r="Z5" s="18">
        <f t="shared" ca="1" si="14"/>
        <v>12900</v>
      </c>
      <c r="AA5" s="18">
        <f t="shared" ca="1" si="14"/>
        <v>7200</v>
      </c>
      <c r="AB5" s="18">
        <f t="shared" ca="1" si="14"/>
        <v>11325</v>
      </c>
      <c r="AC5" s="16"/>
      <c r="AD5" s="2">
        <f t="shared" ref="AD5:AD20" ca="1" si="19">SUM(X5:AB5)</f>
        <v>51750</v>
      </c>
    </row>
    <row r="6" spans="1:30" x14ac:dyDescent="0.3">
      <c r="A6" t="s">
        <v>8</v>
      </c>
      <c r="B6" t="s">
        <v>8</v>
      </c>
      <c r="C6" s="1">
        <v>200</v>
      </c>
      <c r="D6" s="5">
        <v>45</v>
      </c>
      <c r="E6" s="5">
        <f t="shared" ca="1" si="15"/>
        <v>60</v>
      </c>
      <c r="F6" s="5">
        <f t="shared" ca="1" si="15"/>
        <v>82</v>
      </c>
      <c r="G6" s="5">
        <f t="shared" ca="1" si="15"/>
        <v>81</v>
      </c>
      <c r="H6" s="5">
        <f t="shared" ca="1" si="15"/>
        <v>30</v>
      </c>
      <c r="I6" s="7">
        <f t="shared" si="6"/>
        <v>0</v>
      </c>
      <c r="J6" s="7">
        <f t="shared" ca="1" si="7"/>
        <v>10</v>
      </c>
      <c r="K6" s="7">
        <f t="shared" ca="1" si="8"/>
        <v>32</v>
      </c>
      <c r="L6" s="7">
        <f t="shared" ca="1" si="9"/>
        <v>31</v>
      </c>
      <c r="M6" s="7">
        <f t="shared" ca="1" si="10"/>
        <v>0</v>
      </c>
      <c r="N6" s="9">
        <f t="shared" si="16"/>
        <v>9000</v>
      </c>
      <c r="O6" s="9">
        <f t="shared" ca="1" si="17"/>
        <v>12000</v>
      </c>
      <c r="P6" s="9">
        <f t="shared" ca="1" si="11"/>
        <v>16400</v>
      </c>
      <c r="Q6" s="9">
        <f t="shared" ca="1" si="11"/>
        <v>16200</v>
      </c>
      <c r="R6" s="9">
        <f t="shared" ca="1" si="11"/>
        <v>6000</v>
      </c>
      <c r="S6" s="11">
        <f t="shared" si="18"/>
        <v>0</v>
      </c>
      <c r="T6" s="11">
        <f t="shared" ca="1" si="18"/>
        <v>1000</v>
      </c>
      <c r="U6" s="11">
        <f t="shared" ca="1" si="12"/>
        <v>3200</v>
      </c>
      <c r="V6" s="11">
        <f t="shared" ca="1" si="12"/>
        <v>3100</v>
      </c>
      <c r="W6" s="15">
        <f t="shared" ca="1" si="12"/>
        <v>0</v>
      </c>
      <c r="X6" s="18">
        <f t="shared" si="13"/>
        <v>9000</v>
      </c>
      <c r="Y6" s="18">
        <f t="shared" ca="1" si="14"/>
        <v>13000</v>
      </c>
      <c r="Z6" s="18">
        <f t="shared" ca="1" si="14"/>
        <v>19600</v>
      </c>
      <c r="AA6" s="18">
        <f t="shared" ca="1" si="14"/>
        <v>19300</v>
      </c>
      <c r="AB6" s="18">
        <f t="shared" ca="1" si="14"/>
        <v>6000</v>
      </c>
      <c r="AC6" s="16"/>
      <c r="AD6" s="2">
        <f t="shared" ca="1" si="19"/>
        <v>66900</v>
      </c>
    </row>
    <row r="7" spans="1:30" x14ac:dyDescent="0.3">
      <c r="A7" t="s">
        <v>9</v>
      </c>
      <c r="B7" t="s">
        <v>9</v>
      </c>
      <c r="C7" s="1">
        <v>250</v>
      </c>
      <c r="D7" s="5">
        <v>45.5</v>
      </c>
      <c r="E7" s="5">
        <f t="shared" ca="1" si="15"/>
        <v>84</v>
      </c>
      <c r="F7" s="5">
        <f t="shared" ca="1" si="15"/>
        <v>55</v>
      </c>
      <c r="G7" s="5">
        <f t="shared" ca="1" si="15"/>
        <v>47</v>
      </c>
      <c r="H7" s="5">
        <f t="shared" ca="1" si="15"/>
        <v>61</v>
      </c>
      <c r="I7" s="7">
        <f t="shared" si="6"/>
        <v>0</v>
      </c>
      <c r="J7" s="7">
        <f t="shared" ca="1" si="7"/>
        <v>34</v>
      </c>
      <c r="K7" s="7">
        <f t="shared" ca="1" si="8"/>
        <v>5</v>
      </c>
      <c r="L7" s="7">
        <f t="shared" ca="1" si="9"/>
        <v>0</v>
      </c>
      <c r="M7" s="7">
        <f t="shared" ca="1" si="10"/>
        <v>11</v>
      </c>
      <c r="N7" s="9">
        <f t="shared" si="16"/>
        <v>11375</v>
      </c>
      <c r="O7" s="9">
        <f t="shared" ca="1" si="17"/>
        <v>21000</v>
      </c>
      <c r="P7" s="9">
        <f t="shared" ca="1" si="11"/>
        <v>13750</v>
      </c>
      <c r="Q7" s="9">
        <f t="shared" ca="1" si="11"/>
        <v>11750</v>
      </c>
      <c r="R7" s="9">
        <f t="shared" ca="1" si="11"/>
        <v>15250</v>
      </c>
      <c r="S7" s="11">
        <f t="shared" si="18"/>
        <v>0</v>
      </c>
      <c r="T7" s="11">
        <f t="shared" ca="1" si="18"/>
        <v>4250</v>
      </c>
      <c r="U7" s="11">
        <f t="shared" ca="1" si="12"/>
        <v>625</v>
      </c>
      <c r="V7" s="11">
        <f t="shared" ca="1" si="12"/>
        <v>0</v>
      </c>
      <c r="W7" s="15">
        <f t="shared" ca="1" si="12"/>
        <v>1375</v>
      </c>
      <c r="X7" s="18">
        <f t="shared" si="13"/>
        <v>11375</v>
      </c>
      <c r="Y7" s="18">
        <f t="shared" ca="1" si="14"/>
        <v>25250</v>
      </c>
      <c r="Z7" s="18">
        <f t="shared" ca="1" si="14"/>
        <v>14375</v>
      </c>
      <c r="AA7" s="18">
        <f t="shared" ca="1" si="14"/>
        <v>11750</v>
      </c>
      <c r="AB7" s="18">
        <f t="shared" ca="1" si="14"/>
        <v>16625</v>
      </c>
      <c r="AC7" s="16"/>
      <c r="AD7" s="2">
        <f t="shared" ca="1" si="19"/>
        <v>79375</v>
      </c>
    </row>
    <row r="8" spans="1:30" x14ac:dyDescent="0.3">
      <c r="A8" t="s">
        <v>10</v>
      </c>
      <c r="B8" t="s">
        <v>10</v>
      </c>
      <c r="C8" s="1">
        <v>300</v>
      </c>
      <c r="D8" s="5">
        <v>50</v>
      </c>
      <c r="E8" s="5">
        <f t="shared" ca="1" si="15"/>
        <v>56</v>
      </c>
      <c r="F8" s="5">
        <f t="shared" ca="1" si="15"/>
        <v>78</v>
      </c>
      <c r="G8" s="5">
        <f t="shared" ca="1" si="15"/>
        <v>18</v>
      </c>
      <c r="H8" s="5">
        <f t="shared" ca="1" si="15"/>
        <v>65</v>
      </c>
      <c r="I8" s="7">
        <f t="shared" si="6"/>
        <v>0</v>
      </c>
      <c r="J8" s="7">
        <f t="shared" ca="1" si="7"/>
        <v>6</v>
      </c>
      <c r="K8" s="7">
        <f t="shared" ca="1" si="8"/>
        <v>28</v>
      </c>
      <c r="L8" s="7">
        <f t="shared" ca="1" si="9"/>
        <v>0</v>
      </c>
      <c r="M8" s="7">
        <f t="shared" ca="1" si="10"/>
        <v>15</v>
      </c>
      <c r="N8" s="9">
        <f t="shared" si="16"/>
        <v>15000</v>
      </c>
      <c r="O8" s="9">
        <f t="shared" ca="1" si="17"/>
        <v>16800</v>
      </c>
      <c r="P8" s="9">
        <f t="shared" ca="1" si="11"/>
        <v>23400</v>
      </c>
      <c r="Q8" s="9">
        <f t="shared" ca="1" si="11"/>
        <v>5400</v>
      </c>
      <c r="R8" s="9">
        <f t="shared" ca="1" si="11"/>
        <v>19500</v>
      </c>
      <c r="S8" s="11">
        <f t="shared" si="18"/>
        <v>0</v>
      </c>
      <c r="T8" s="11">
        <f t="shared" ca="1" si="18"/>
        <v>900</v>
      </c>
      <c r="U8" s="11">
        <f t="shared" ca="1" si="12"/>
        <v>4200</v>
      </c>
      <c r="V8" s="11">
        <f t="shared" ca="1" si="12"/>
        <v>0</v>
      </c>
      <c r="W8" s="15">
        <f t="shared" ca="1" si="12"/>
        <v>2250</v>
      </c>
      <c r="X8" s="18">
        <f t="shared" si="13"/>
        <v>15000</v>
      </c>
      <c r="Y8" s="18">
        <f t="shared" ca="1" si="14"/>
        <v>17700</v>
      </c>
      <c r="Z8" s="18">
        <f t="shared" ca="1" si="14"/>
        <v>27600</v>
      </c>
      <c r="AA8" s="18">
        <f t="shared" ca="1" si="14"/>
        <v>5400</v>
      </c>
      <c r="AB8" s="18">
        <f t="shared" ca="1" si="14"/>
        <v>21750</v>
      </c>
      <c r="AC8" s="16"/>
      <c r="AD8" s="2">
        <f t="shared" ca="1" si="19"/>
        <v>87450</v>
      </c>
    </row>
    <row r="9" spans="1:30" x14ac:dyDescent="0.3">
      <c r="A9" t="s">
        <v>11</v>
      </c>
      <c r="B9" t="s">
        <v>11</v>
      </c>
      <c r="C9" s="1">
        <v>350</v>
      </c>
      <c r="D9" s="5">
        <v>50.5</v>
      </c>
      <c r="E9" s="5">
        <f t="shared" ca="1" si="15"/>
        <v>74</v>
      </c>
      <c r="F9" s="5">
        <f t="shared" ca="1" si="15"/>
        <v>23</v>
      </c>
      <c r="G9" s="5">
        <f t="shared" ca="1" si="15"/>
        <v>80</v>
      </c>
      <c r="H9" s="5">
        <f t="shared" ca="1" si="15"/>
        <v>35</v>
      </c>
      <c r="I9" s="7">
        <f t="shared" si="6"/>
        <v>0.5</v>
      </c>
      <c r="J9" s="7">
        <f t="shared" ca="1" si="7"/>
        <v>24</v>
      </c>
      <c r="K9" s="7">
        <f t="shared" ca="1" si="8"/>
        <v>0</v>
      </c>
      <c r="L9" s="7">
        <f t="shared" ca="1" si="9"/>
        <v>30</v>
      </c>
      <c r="M9" s="7">
        <f t="shared" ca="1" si="10"/>
        <v>0</v>
      </c>
      <c r="N9" s="9">
        <f t="shared" si="16"/>
        <v>17675</v>
      </c>
      <c r="O9" s="9">
        <f t="shared" ca="1" si="17"/>
        <v>25900</v>
      </c>
      <c r="P9" s="9">
        <f t="shared" ca="1" si="11"/>
        <v>8050</v>
      </c>
      <c r="Q9" s="9">
        <f t="shared" ca="1" si="11"/>
        <v>28000</v>
      </c>
      <c r="R9" s="9">
        <f t="shared" ca="1" si="11"/>
        <v>12250</v>
      </c>
      <c r="S9" s="11">
        <f t="shared" si="18"/>
        <v>87.5</v>
      </c>
      <c r="T9" s="11">
        <f t="shared" ca="1" si="18"/>
        <v>4200</v>
      </c>
      <c r="U9" s="11">
        <f t="shared" ca="1" si="12"/>
        <v>0</v>
      </c>
      <c r="V9" s="11">
        <f t="shared" ca="1" si="12"/>
        <v>5250</v>
      </c>
      <c r="W9" s="15">
        <f t="shared" ca="1" si="12"/>
        <v>0</v>
      </c>
      <c r="X9" s="18">
        <f t="shared" si="13"/>
        <v>17762.5</v>
      </c>
      <c r="Y9" s="18">
        <f t="shared" ca="1" si="14"/>
        <v>30100</v>
      </c>
      <c r="Z9" s="18">
        <f t="shared" ca="1" si="14"/>
        <v>8050</v>
      </c>
      <c r="AA9" s="18">
        <f t="shared" ca="1" si="14"/>
        <v>33250</v>
      </c>
      <c r="AB9" s="18">
        <f t="shared" ca="1" si="14"/>
        <v>12250</v>
      </c>
      <c r="AC9" s="16"/>
      <c r="AD9" s="2">
        <f t="shared" ca="1" si="19"/>
        <v>101412.5</v>
      </c>
    </row>
    <row r="10" spans="1:30" x14ac:dyDescent="0.3">
      <c r="A10" t="s">
        <v>12</v>
      </c>
      <c r="B10" t="s">
        <v>12</v>
      </c>
      <c r="C10" s="1">
        <v>400</v>
      </c>
      <c r="D10" s="5">
        <v>55</v>
      </c>
      <c r="E10" s="5">
        <f t="shared" ca="1" si="15"/>
        <v>42</v>
      </c>
      <c r="F10" s="5">
        <f t="shared" ca="1" si="15"/>
        <v>39</v>
      </c>
      <c r="G10" s="5">
        <f t="shared" ca="1" si="15"/>
        <v>57</v>
      </c>
      <c r="H10" s="5">
        <f t="shared" ca="1" si="15"/>
        <v>17</v>
      </c>
      <c r="I10" s="7">
        <f t="shared" si="6"/>
        <v>5</v>
      </c>
      <c r="J10" s="7">
        <f t="shared" ca="1" si="7"/>
        <v>0</v>
      </c>
      <c r="K10" s="7">
        <f t="shared" ca="1" si="8"/>
        <v>0</v>
      </c>
      <c r="L10" s="7">
        <f t="shared" ca="1" si="9"/>
        <v>7</v>
      </c>
      <c r="M10" s="7">
        <f t="shared" ca="1" si="10"/>
        <v>0</v>
      </c>
      <c r="N10" s="9">
        <f t="shared" si="16"/>
        <v>22000</v>
      </c>
      <c r="O10" s="9">
        <f t="shared" ca="1" si="17"/>
        <v>16800</v>
      </c>
      <c r="P10" s="9">
        <f t="shared" ca="1" si="11"/>
        <v>15600</v>
      </c>
      <c r="Q10" s="9">
        <f t="shared" ca="1" si="11"/>
        <v>22800</v>
      </c>
      <c r="R10" s="9">
        <f t="shared" ca="1" si="11"/>
        <v>6800</v>
      </c>
      <c r="S10" s="11">
        <f t="shared" si="18"/>
        <v>1000</v>
      </c>
      <c r="T10" s="11">
        <f t="shared" ca="1" si="18"/>
        <v>0</v>
      </c>
      <c r="U10" s="11">
        <f t="shared" ca="1" si="12"/>
        <v>0</v>
      </c>
      <c r="V10" s="11">
        <f t="shared" ca="1" si="12"/>
        <v>1400</v>
      </c>
      <c r="W10" s="15">
        <f t="shared" ca="1" si="12"/>
        <v>0</v>
      </c>
      <c r="X10" s="18">
        <f t="shared" si="13"/>
        <v>23000</v>
      </c>
      <c r="Y10" s="18">
        <f t="shared" ca="1" si="14"/>
        <v>16800</v>
      </c>
      <c r="Z10" s="18">
        <f t="shared" ca="1" si="14"/>
        <v>15600</v>
      </c>
      <c r="AA10" s="18">
        <f t="shared" ca="1" si="14"/>
        <v>24200</v>
      </c>
      <c r="AB10" s="18">
        <f t="shared" ca="1" si="14"/>
        <v>6800</v>
      </c>
      <c r="AC10" s="16"/>
      <c r="AD10" s="2">
        <f t="shared" ca="1" si="19"/>
        <v>86400</v>
      </c>
    </row>
    <row r="11" spans="1:30" x14ac:dyDescent="0.3">
      <c r="A11" t="s">
        <v>13</v>
      </c>
      <c r="B11" t="s">
        <v>13</v>
      </c>
      <c r="C11" s="1">
        <v>450</v>
      </c>
      <c r="D11" s="5">
        <v>55.5</v>
      </c>
      <c r="E11" s="5">
        <f t="shared" ca="1" si="15"/>
        <v>11</v>
      </c>
      <c r="F11" s="5">
        <f t="shared" ca="1" si="15"/>
        <v>35</v>
      </c>
      <c r="G11" s="5">
        <f t="shared" ca="1" si="15"/>
        <v>71</v>
      </c>
      <c r="H11" s="5">
        <f t="shared" ca="1" si="15"/>
        <v>42</v>
      </c>
      <c r="I11" s="7">
        <f t="shared" si="6"/>
        <v>5.5</v>
      </c>
      <c r="J11" s="7">
        <f t="shared" ca="1" si="7"/>
        <v>0</v>
      </c>
      <c r="K11" s="7">
        <f t="shared" ca="1" si="8"/>
        <v>0</v>
      </c>
      <c r="L11" s="7">
        <f t="shared" ca="1" si="9"/>
        <v>21</v>
      </c>
      <c r="M11" s="7">
        <f t="shared" ca="1" si="10"/>
        <v>0</v>
      </c>
      <c r="N11" s="9">
        <f t="shared" si="16"/>
        <v>24975</v>
      </c>
      <c r="O11" s="9">
        <f t="shared" ca="1" si="17"/>
        <v>4950</v>
      </c>
      <c r="P11" s="9">
        <f t="shared" ca="1" si="11"/>
        <v>15750</v>
      </c>
      <c r="Q11" s="9">
        <f t="shared" ca="1" si="11"/>
        <v>31950</v>
      </c>
      <c r="R11" s="9">
        <f t="shared" ca="1" si="11"/>
        <v>18900</v>
      </c>
      <c r="S11" s="11">
        <f t="shared" si="18"/>
        <v>1237.5</v>
      </c>
      <c r="T11" s="11">
        <f t="shared" ca="1" si="18"/>
        <v>0</v>
      </c>
      <c r="U11" s="11">
        <f t="shared" ca="1" si="12"/>
        <v>0</v>
      </c>
      <c r="V11" s="11">
        <f t="shared" ca="1" si="12"/>
        <v>4725</v>
      </c>
      <c r="W11" s="15">
        <f t="shared" ca="1" si="12"/>
        <v>0</v>
      </c>
      <c r="X11" s="18">
        <f t="shared" si="13"/>
        <v>26212.5</v>
      </c>
      <c r="Y11" s="18">
        <f t="shared" ca="1" si="14"/>
        <v>4950</v>
      </c>
      <c r="Z11" s="18">
        <f t="shared" ca="1" si="14"/>
        <v>15750</v>
      </c>
      <c r="AA11" s="18">
        <f t="shared" ca="1" si="14"/>
        <v>36675</v>
      </c>
      <c r="AB11" s="18">
        <f t="shared" ca="1" si="14"/>
        <v>18900</v>
      </c>
      <c r="AC11" s="16"/>
      <c r="AD11" s="2">
        <f t="shared" ca="1" si="19"/>
        <v>102487.5</v>
      </c>
    </row>
    <row r="12" spans="1:30" x14ac:dyDescent="0.3">
      <c r="A12" t="s">
        <v>14</v>
      </c>
      <c r="B12" t="s">
        <v>14</v>
      </c>
      <c r="C12" s="1">
        <v>500</v>
      </c>
      <c r="D12" s="5">
        <v>60</v>
      </c>
      <c r="E12" s="5">
        <f t="shared" ca="1" si="15"/>
        <v>54</v>
      </c>
      <c r="F12" s="5">
        <f t="shared" ca="1" si="15"/>
        <v>68</v>
      </c>
      <c r="G12" s="5">
        <f t="shared" ca="1" si="15"/>
        <v>49</v>
      </c>
      <c r="H12" s="5">
        <f t="shared" ca="1" si="15"/>
        <v>56</v>
      </c>
      <c r="I12" s="7">
        <f t="shared" si="6"/>
        <v>10</v>
      </c>
      <c r="J12" s="7">
        <f t="shared" ca="1" si="7"/>
        <v>4</v>
      </c>
      <c r="K12" s="7">
        <f t="shared" ca="1" si="8"/>
        <v>18</v>
      </c>
      <c r="L12" s="7">
        <f t="shared" ca="1" si="9"/>
        <v>0</v>
      </c>
      <c r="M12" s="7">
        <f t="shared" ca="1" si="10"/>
        <v>6</v>
      </c>
      <c r="N12" s="9">
        <f t="shared" si="16"/>
        <v>30000</v>
      </c>
      <c r="O12" s="9">
        <f t="shared" ca="1" si="17"/>
        <v>27000</v>
      </c>
      <c r="P12" s="9">
        <f t="shared" ca="1" si="11"/>
        <v>34000</v>
      </c>
      <c r="Q12" s="9">
        <f t="shared" ca="1" si="11"/>
        <v>24500</v>
      </c>
      <c r="R12" s="9">
        <f t="shared" ca="1" si="11"/>
        <v>28000</v>
      </c>
      <c r="S12" s="11">
        <f t="shared" si="18"/>
        <v>2500</v>
      </c>
      <c r="T12" s="11">
        <f t="shared" ca="1" si="18"/>
        <v>1000</v>
      </c>
      <c r="U12" s="11">
        <f t="shared" ca="1" si="12"/>
        <v>4500</v>
      </c>
      <c r="V12" s="11">
        <f t="shared" ca="1" si="12"/>
        <v>0</v>
      </c>
      <c r="W12" s="15">
        <f t="shared" ca="1" si="12"/>
        <v>1500</v>
      </c>
      <c r="X12" s="18">
        <f t="shared" si="13"/>
        <v>32500</v>
      </c>
      <c r="Y12" s="18">
        <f t="shared" ca="1" si="14"/>
        <v>28000</v>
      </c>
      <c r="Z12" s="18">
        <f t="shared" ca="1" si="14"/>
        <v>38500</v>
      </c>
      <c r="AA12" s="18">
        <f t="shared" ca="1" si="14"/>
        <v>24500</v>
      </c>
      <c r="AB12" s="18">
        <f t="shared" ca="1" si="14"/>
        <v>29500</v>
      </c>
      <c r="AC12" s="16"/>
      <c r="AD12" s="2">
        <f t="shared" ca="1" si="19"/>
        <v>153000</v>
      </c>
    </row>
    <row r="13" spans="1:30" x14ac:dyDescent="0.3">
      <c r="A13" t="s">
        <v>15</v>
      </c>
      <c r="B13" t="s">
        <v>15</v>
      </c>
      <c r="C13" s="1">
        <v>550</v>
      </c>
      <c r="D13" s="5">
        <v>60.5</v>
      </c>
      <c r="E13" s="5">
        <f t="shared" ca="1" si="15"/>
        <v>16</v>
      </c>
      <c r="F13" s="5">
        <f t="shared" ca="1" si="15"/>
        <v>62</v>
      </c>
      <c r="G13" s="5">
        <f t="shared" ca="1" si="15"/>
        <v>55</v>
      </c>
      <c r="H13" s="5">
        <f t="shared" ca="1" si="15"/>
        <v>44</v>
      </c>
      <c r="I13" s="7">
        <f t="shared" si="6"/>
        <v>10.5</v>
      </c>
      <c r="J13" s="7">
        <f t="shared" ca="1" si="7"/>
        <v>0</v>
      </c>
      <c r="K13" s="7">
        <f t="shared" ca="1" si="8"/>
        <v>12</v>
      </c>
      <c r="L13" s="7">
        <f t="shared" ca="1" si="9"/>
        <v>5</v>
      </c>
      <c r="M13" s="7">
        <f t="shared" ca="1" si="10"/>
        <v>0</v>
      </c>
      <c r="N13" s="9">
        <f t="shared" si="16"/>
        <v>33275</v>
      </c>
      <c r="O13" s="9">
        <f t="shared" ca="1" si="17"/>
        <v>8800</v>
      </c>
      <c r="P13" s="9">
        <f t="shared" ca="1" si="11"/>
        <v>34100</v>
      </c>
      <c r="Q13" s="9">
        <f t="shared" ca="1" si="11"/>
        <v>30250</v>
      </c>
      <c r="R13" s="9">
        <f t="shared" ca="1" si="11"/>
        <v>24200</v>
      </c>
      <c r="S13" s="11">
        <f t="shared" si="18"/>
        <v>2887.5</v>
      </c>
      <c r="T13" s="11">
        <f t="shared" ca="1" si="18"/>
        <v>0</v>
      </c>
      <c r="U13" s="11">
        <f t="shared" ca="1" si="12"/>
        <v>3300</v>
      </c>
      <c r="V13" s="11">
        <f t="shared" ca="1" si="12"/>
        <v>1375</v>
      </c>
      <c r="W13" s="15">
        <f t="shared" ca="1" si="12"/>
        <v>0</v>
      </c>
      <c r="X13" s="18">
        <f t="shared" si="13"/>
        <v>36162.5</v>
      </c>
      <c r="Y13" s="18">
        <f t="shared" ca="1" si="14"/>
        <v>8800</v>
      </c>
      <c r="Z13" s="18">
        <f t="shared" ca="1" si="14"/>
        <v>37400</v>
      </c>
      <c r="AA13" s="18">
        <f t="shared" ca="1" si="14"/>
        <v>31625</v>
      </c>
      <c r="AB13" s="18">
        <f t="shared" ca="1" si="14"/>
        <v>24200</v>
      </c>
      <c r="AC13" s="16"/>
      <c r="AD13" s="2">
        <f t="shared" ca="1" si="19"/>
        <v>138187.5</v>
      </c>
    </row>
    <row r="14" spans="1:30" x14ac:dyDescent="0.3">
      <c r="A14" t="s">
        <v>16</v>
      </c>
      <c r="B14" t="s">
        <v>16</v>
      </c>
      <c r="C14" s="1">
        <v>600</v>
      </c>
      <c r="D14" s="5">
        <v>70</v>
      </c>
      <c r="E14" s="5">
        <f t="shared" ca="1" si="15"/>
        <v>78</v>
      </c>
      <c r="F14" s="5">
        <f t="shared" ca="1" si="15"/>
        <v>77</v>
      </c>
      <c r="G14" s="5">
        <f t="shared" ca="1" si="15"/>
        <v>44</v>
      </c>
      <c r="H14" s="5">
        <f t="shared" ca="1" si="15"/>
        <v>36</v>
      </c>
      <c r="I14" s="7">
        <f t="shared" si="6"/>
        <v>20</v>
      </c>
      <c r="J14" s="7">
        <f t="shared" ca="1" si="7"/>
        <v>28</v>
      </c>
      <c r="K14" s="7">
        <f t="shared" ca="1" si="8"/>
        <v>27</v>
      </c>
      <c r="L14" s="7">
        <f t="shared" ca="1" si="9"/>
        <v>0</v>
      </c>
      <c r="M14" s="7">
        <f t="shared" ca="1" si="10"/>
        <v>0</v>
      </c>
      <c r="N14" s="9">
        <f t="shared" si="16"/>
        <v>42000</v>
      </c>
      <c r="O14" s="9">
        <f t="shared" ca="1" si="17"/>
        <v>46800</v>
      </c>
      <c r="P14" s="9">
        <f t="shared" ca="1" si="11"/>
        <v>46200</v>
      </c>
      <c r="Q14" s="9">
        <f t="shared" ca="1" si="11"/>
        <v>26400</v>
      </c>
      <c r="R14" s="9">
        <f t="shared" ca="1" si="11"/>
        <v>21600</v>
      </c>
      <c r="S14" s="11">
        <f t="shared" si="18"/>
        <v>6000</v>
      </c>
      <c r="T14" s="11">
        <f t="shared" ca="1" si="18"/>
        <v>8400</v>
      </c>
      <c r="U14" s="11">
        <f t="shared" ca="1" si="12"/>
        <v>8100</v>
      </c>
      <c r="V14" s="11">
        <f t="shared" ca="1" si="12"/>
        <v>0</v>
      </c>
      <c r="W14" s="15">
        <f t="shared" ca="1" si="12"/>
        <v>0</v>
      </c>
      <c r="X14" s="18">
        <f t="shared" si="13"/>
        <v>48000</v>
      </c>
      <c r="Y14" s="18">
        <f t="shared" ca="1" si="14"/>
        <v>55200</v>
      </c>
      <c r="Z14" s="18">
        <f t="shared" ca="1" si="14"/>
        <v>54300</v>
      </c>
      <c r="AA14" s="18">
        <f t="shared" ca="1" si="14"/>
        <v>26400</v>
      </c>
      <c r="AB14" s="18">
        <f t="shared" ca="1" si="14"/>
        <v>21600</v>
      </c>
      <c r="AC14" s="16"/>
      <c r="AD14" s="2">
        <f t="shared" ca="1" si="19"/>
        <v>205500</v>
      </c>
    </row>
    <row r="15" spans="1:30" x14ac:dyDescent="0.3">
      <c r="A15" t="s">
        <v>17</v>
      </c>
      <c r="B15" t="s">
        <v>17</v>
      </c>
      <c r="C15" s="1">
        <v>650</v>
      </c>
      <c r="D15" s="5">
        <v>70.5</v>
      </c>
      <c r="E15" s="5">
        <f t="shared" ca="1" si="15"/>
        <v>33</v>
      </c>
      <c r="F15" s="5">
        <f t="shared" ca="1" si="15"/>
        <v>18</v>
      </c>
      <c r="G15" s="5">
        <f t="shared" ca="1" si="15"/>
        <v>60</v>
      </c>
      <c r="H15" s="5">
        <f t="shared" ca="1" si="15"/>
        <v>78</v>
      </c>
      <c r="I15" s="7">
        <f t="shared" si="6"/>
        <v>20.5</v>
      </c>
      <c r="J15" s="7">
        <f t="shared" ca="1" si="7"/>
        <v>0</v>
      </c>
      <c r="K15" s="7">
        <f t="shared" ca="1" si="8"/>
        <v>0</v>
      </c>
      <c r="L15" s="7">
        <f t="shared" ca="1" si="9"/>
        <v>10</v>
      </c>
      <c r="M15" s="7">
        <f t="shared" ca="1" si="10"/>
        <v>28</v>
      </c>
      <c r="N15" s="9">
        <f t="shared" si="16"/>
        <v>45825</v>
      </c>
      <c r="O15" s="9">
        <f t="shared" ca="1" si="17"/>
        <v>21450</v>
      </c>
      <c r="P15" s="9">
        <f t="shared" ca="1" si="11"/>
        <v>11700</v>
      </c>
      <c r="Q15" s="9">
        <f t="shared" ca="1" si="11"/>
        <v>39000</v>
      </c>
      <c r="R15" s="9">
        <f t="shared" ca="1" si="11"/>
        <v>50700</v>
      </c>
      <c r="S15" s="11">
        <f t="shared" si="18"/>
        <v>6662.5</v>
      </c>
      <c r="T15" s="11">
        <f t="shared" ca="1" si="18"/>
        <v>0</v>
      </c>
      <c r="U15" s="11">
        <f t="shared" ca="1" si="12"/>
        <v>0</v>
      </c>
      <c r="V15" s="11">
        <f t="shared" ca="1" si="12"/>
        <v>3250</v>
      </c>
      <c r="W15" s="15">
        <f t="shared" ca="1" si="12"/>
        <v>9100</v>
      </c>
      <c r="X15" s="18">
        <f t="shared" si="13"/>
        <v>52487.5</v>
      </c>
      <c r="Y15" s="18">
        <f t="shared" ca="1" si="14"/>
        <v>21450</v>
      </c>
      <c r="Z15" s="18">
        <f t="shared" ca="1" si="14"/>
        <v>11700</v>
      </c>
      <c r="AA15" s="18">
        <f t="shared" ca="1" si="14"/>
        <v>42250</v>
      </c>
      <c r="AB15" s="18">
        <f t="shared" ca="1" si="14"/>
        <v>59800</v>
      </c>
      <c r="AC15" s="16"/>
      <c r="AD15" s="2">
        <f t="shared" ca="1" si="19"/>
        <v>187687.5</v>
      </c>
    </row>
    <row r="16" spans="1:30" x14ac:dyDescent="0.3">
      <c r="A16" t="s">
        <v>18</v>
      </c>
      <c r="B16" t="s">
        <v>18</v>
      </c>
      <c r="C16" s="1">
        <v>700</v>
      </c>
      <c r="D16" s="5">
        <v>80</v>
      </c>
      <c r="E16" s="5">
        <f t="shared" ca="1" si="15"/>
        <v>33</v>
      </c>
      <c r="F16" s="5">
        <f t="shared" ca="1" si="15"/>
        <v>22</v>
      </c>
      <c r="G16" s="5">
        <f t="shared" ca="1" si="15"/>
        <v>12</v>
      </c>
      <c r="H16" s="5">
        <f t="shared" ca="1" si="15"/>
        <v>16</v>
      </c>
      <c r="I16" s="7">
        <f t="shared" si="6"/>
        <v>30</v>
      </c>
      <c r="J16" s="7">
        <f t="shared" ca="1" si="7"/>
        <v>0</v>
      </c>
      <c r="K16" s="7">
        <f t="shared" ca="1" si="8"/>
        <v>0</v>
      </c>
      <c r="L16" s="7">
        <f t="shared" ca="1" si="9"/>
        <v>0</v>
      </c>
      <c r="M16" s="7">
        <f t="shared" ca="1" si="10"/>
        <v>0</v>
      </c>
      <c r="N16" s="9">
        <f t="shared" si="16"/>
        <v>56000</v>
      </c>
      <c r="O16" s="9">
        <f t="shared" ca="1" si="17"/>
        <v>23100</v>
      </c>
      <c r="P16" s="9">
        <f t="shared" ca="1" si="11"/>
        <v>15400</v>
      </c>
      <c r="Q16" s="9">
        <f t="shared" ca="1" si="11"/>
        <v>8400</v>
      </c>
      <c r="R16" s="9">
        <f t="shared" ca="1" si="11"/>
        <v>11200</v>
      </c>
      <c r="S16" s="11">
        <f t="shared" si="18"/>
        <v>10500</v>
      </c>
      <c r="T16" s="11">
        <f t="shared" ca="1" si="18"/>
        <v>0</v>
      </c>
      <c r="U16" s="11">
        <f t="shared" ca="1" si="12"/>
        <v>0</v>
      </c>
      <c r="V16" s="11">
        <f t="shared" ca="1" si="12"/>
        <v>0</v>
      </c>
      <c r="W16" s="15">
        <f t="shared" ca="1" si="12"/>
        <v>0</v>
      </c>
      <c r="X16" s="18">
        <f t="shared" si="13"/>
        <v>66500</v>
      </c>
      <c r="Y16" s="18">
        <f t="shared" ca="1" si="14"/>
        <v>23100</v>
      </c>
      <c r="Z16" s="18">
        <f t="shared" ca="1" si="14"/>
        <v>15400</v>
      </c>
      <c r="AA16" s="18">
        <f t="shared" ca="1" si="14"/>
        <v>8400</v>
      </c>
      <c r="AB16" s="18">
        <f t="shared" ca="1" si="14"/>
        <v>11200</v>
      </c>
      <c r="AC16" s="16"/>
      <c r="AD16" s="2">
        <f t="shared" ca="1" si="19"/>
        <v>124600</v>
      </c>
    </row>
    <row r="17" spans="1:30" x14ac:dyDescent="0.3">
      <c r="A17" t="s">
        <v>19</v>
      </c>
      <c r="B17" t="s">
        <v>19</v>
      </c>
      <c r="C17" s="1">
        <v>750</v>
      </c>
      <c r="D17" s="5">
        <v>80.5</v>
      </c>
      <c r="E17" s="5">
        <f t="shared" ca="1" si="15"/>
        <v>69</v>
      </c>
      <c r="F17" s="5">
        <f t="shared" ca="1" si="15"/>
        <v>34</v>
      </c>
      <c r="G17" s="5">
        <f t="shared" ca="1" si="15"/>
        <v>73</v>
      </c>
      <c r="H17" s="5">
        <f t="shared" ca="1" si="15"/>
        <v>90</v>
      </c>
      <c r="I17" s="7">
        <f t="shared" si="6"/>
        <v>30.5</v>
      </c>
      <c r="J17" s="7">
        <f t="shared" ca="1" si="7"/>
        <v>19</v>
      </c>
      <c r="K17" s="7">
        <f t="shared" ca="1" si="8"/>
        <v>0</v>
      </c>
      <c r="L17" s="7">
        <f t="shared" ca="1" si="9"/>
        <v>23</v>
      </c>
      <c r="M17" s="7">
        <f t="shared" ca="1" si="10"/>
        <v>40</v>
      </c>
      <c r="N17" s="9">
        <f t="shared" si="16"/>
        <v>60375</v>
      </c>
      <c r="O17" s="9">
        <f t="shared" ca="1" si="17"/>
        <v>51750</v>
      </c>
      <c r="P17" s="9">
        <f t="shared" ca="1" si="11"/>
        <v>25500</v>
      </c>
      <c r="Q17" s="9">
        <f t="shared" ca="1" si="11"/>
        <v>54750</v>
      </c>
      <c r="R17" s="9">
        <f t="shared" ca="1" si="11"/>
        <v>67500</v>
      </c>
      <c r="S17" s="11">
        <f t="shared" si="18"/>
        <v>11437.5</v>
      </c>
      <c r="T17" s="11">
        <f t="shared" ca="1" si="18"/>
        <v>7125</v>
      </c>
      <c r="U17" s="11">
        <f t="shared" ca="1" si="12"/>
        <v>0</v>
      </c>
      <c r="V17" s="11">
        <f t="shared" ca="1" si="12"/>
        <v>8625</v>
      </c>
      <c r="W17" s="15">
        <f t="shared" ca="1" si="12"/>
        <v>15000</v>
      </c>
      <c r="X17" s="18">
        <f t="shared" si="13"/>
        <v>71812.5</v>
      </c>
      <c r="Y17" s="18">
        <f t="shared" ca="1" si="14"/>
        <v>58875</v>
      </c>
      <c r="Z17" s="18">
        <f t="shared" ca="1" si="14"/>
        <v>25500</v>
      </c>
      <c r="AA17" s="18">
        <f t="shared" ca="1" si="14"/>
        <v>63375</v>
      </c>
      <c r="AB17" s="18">
        <f t="shared" ca="1" si="14"/>
        <v>82500</v>
      </c>
      <c r="AC17" s="16"/>
      <c r="AD17" s="2">
        <f t="shared" ca="1" si="19"/>
        <v>302062.5</v>
      </c>
    </row>
    <row r="18" spans="1:30" x14ac:dyDescent="0.3">
      <c r="A18" t="s">
        <v>20</v>
      </c>
      <c r="B18" t="s">
        <v>20</v>
      </c>
      <c r="C18" s="1">
        <v>850</v>
      </c>
      <c r="D18" s="5">
        <v>85</v>
      </c>
      <c r="E18" s="5">
        <f t="shared" ca="1" si="15"/>
        <v>81</v>
      </c>
      <c r="F18" s="5">
        <f t="shared" ca="1" si="15"/>
        <v>33</v>
      </c>
      <c r="G18" s="5">
        <f t="shared" ca="1" si="15"/>
        <v>65</v>
      </c>
      <c r="H18" s="5">
        <f t="shared" ca="1" si="15"/>
        <v>51</v>
      </c>
      <c r="I18" s="7">
        <f t="shared" si="6"/>
        <v>35</v>
      </c>
      <c r="J18" s="7">
        <f t="shared" ca="1" si="7"/>
        <v>31</v>
      </c>
      <c r="K18" s="7">
        <f t="shared" ca="1" si="8"/>
        <v>0</v>
      </c>
      <c r="L18" s="7">
        <f t="shared" ca="1" si="9"/>
        <v>15</v>
      </c>
      <c r="M18" s="7">
        <f t="shared" ca="1" si="10"/>
        <v>1</v>
      </c>
      <c r="N18" s="9">
        <f t="shared" si="16"/>
        <v>72250</v>
      </c>
      <c r="O18" s="9">
        <f t="shared" ca="1" si="17"/>
        <v>68850</v>
      </c>
      <c r="P18" s="9">
        <f t="shared" ca="1" si="11"/>
        <v>28050</v>
      </c>
      <c r="Q18" s="9">
        <f t="shared" ca="1" si="11"/>
        <v>55250</v>
      </c>
      <c r="R18" s="9">
        <f t="shared" ca="1" si="11"/>
        <v>43350</v>
      </c>
      <c r="S18" s="11">
        <f t="shared" si="18"/>
        <v>14875</v>
      </c>
      <c r="T18" s="11">
        <f t="shared" ca="1" si="18"/>
        <v>13175</v>
      </c>
      <c r="U18" s="11">
        <f t="shared" ca="1" si="12"/>
        <v>0</v>
      </c>
      <c r="V18" s="11">
        <f t="shared" ca="1" si="12"/>
        <v>6375</v>
      </c>
      <c r="W18" s="15">
        <f t="shared" ca="1" si="12"/>
        <v>425</v>
      </c>
      <c r="X18" s="18">
        <f t="shared" si="13"/>
        <v>87125</v>
      </c>
      <c r="Y18" s="18">
        <f t="shared" ca="1" si="14"/>
        <v>82025</v>
      </c>
      <c r="Z18" s="18">
        <f t="shared" ca="1" si="14"/>
        <v>28050</v>
      </c>
      <c r="AA18" s="18">
        <f t="shared" ca="1" si="14"/>
        <v>61625</v>
      </c>
      <c r="AB18" s="18">
        <f t="shared" ca="1" si="14"/>
        <v>43775</v>
      </c>
      <c r="AC18" s="16"/>
      <c r="AD18" s="2">
        <f t="shared" ca="1" si="19"/>
        <v>302600</v>
      </c>
    </row>
    <row r="19" spans="1:30" x14ac:dyDescent="0.3">
      <c r="A19" t="s">
        <v>21</v>
      </c>
      <c r="B19" t="s">
        <v>21</v>
      </c>
      <c r="C19" s="1">
        <v>900</v>
      </c>
      <c r="D19" s="5">
        <v>85.5</v>
      </c>
      <c r="E19" s="5">
        <f t="shared" ca="1" si="15"/>
        <v>49</v>
      </c>
      <c r="F19" s="5">
        <f t="shared" ca="1" si="15"/>
        <v>33</v>
      </c>
      <c r="G19" s="5">
        <f t="shared" ca="1" si="15"/>
        <v>77</v>
      </c>
      <c r="H19" s="5">
        <f t="shared" ca="1" si="15"/>
        <v>52</v>
      </c>
      <c r="I19" s="7">
        <f t="shared" si="6"/>
        <v>35.5</v>
      </c>
      <c r="J19" s="7">
        <f t="shared" ca="1" si="7"/>
        <v>0</v>
      </c>
      <c r="K19" s="7">
        <f t="shared" ca="1" si="8"/>
        <v>0</v>
      </c>
      <c r="L19" s="7">
        <f t="shared" ca="1" si="9"/>
        <v>27</v>
      </c>
      <c r="M19" s="7">
        <f t="shared" ca="1" si="10"/>
        <v>2</v>
      </c>
      <c r="N19" s="9">
        <f t="shared" si="16"/>
        <v>76950</v>
      </c>
      <c r="O19" s="9">
        <f t="shared" ca="1" si="17"/>
        <v>44100</v>
      </c>
      <c r="P19" s="9">
        <f t="shared" ca="1" si="11"/>
        <v>29700</v>
      </c>
      <c r="Q19" s="9">
        <f t="shared" ca="1" si="11"/>
        <v>69300</v>
      </c>
      <c r="R19" s="9">
        <f t="shared" ca="1" si="11"/>
        <v>46800</v>
      </c>
      <c r="S19" s="11">
        <f t="shared" si="18"/>
        <v>15975</v>
      </c>
      <c r="T19" s="11">
        <f t="shared" ca="1" si="18"/>
        <v>0</v>
      </c>
      <c r="U19" s="11">
        <f t="shared" ca="1" si="12"/>
        <v>0</v>
      </c>
      <c r="V19" s="11">
        <f t="shared" ca="1" si="12"/>
        <v>12150</v>
      </c>
      <c r="W19" s="15">
        <f t="shared" ca="1" si="12"/>
        <v>900</v>
      </c>
      <c r="X19" s="18">
        <f t="shared" si="13"/>
        <v>92925</v>
      </c>
      <c r="Y19" s="18">
        <f t="shared" ca="1" si="14"/>
        <v>44100</v>
      </c>
      <c r="Z19" s="18">
        <f t="shared" ca="1" si="14"/>
        <v>29700</v>
      </c>
      <c r="AA19" s="18">
        <f t="shared" ca="1" si="14"/>
        <v>81450</v>
      </c>
      <c r="AB19" s="18">
        <f t="shared" ca="1" si="14"/>
        <v>47700</v>
      </c>
      <c r="AC19" s="16"/>
      <c r="AD19" s="2">
        <f t="shared" ca="1" si="19"/>
        <v>295875</v>
      </c>
    </row>
    <row r="20" spans="1:30" x14ac:dyDescent="0.3">
      <c r="A20" t="s">
        <v>22</v>
      </c>
      <c r="B20" t="s">
        <v>22</v>
      </c>
      <c r="C20" s="1">
        <v>1000</v>
      </c>
      <c r="D20" s="5">
        <v>90</v>
      </c>
      <c r="E20" s="5">
        <f t="shared" ca="1" si="15"/>
        <v>71</v>
      </c>
      <c r="F20" s="5">
        <f t="shared" ca="1" si="15"/>
        <v>40</v>
      </c>
      <c r="G20" s="5">
        <f t="shared" ca="1" si="15"/>
        <v>79</v>
      </c>
      <c r="H20" s="5">
        <f t="shared" ca="1" si="15"/>
        <v>77</v>
      </c>
      <c r="I20" s="7">
        <f t="shared" si="6"/>
        <v>40</v>
      </c>
      <c r="J20" s="7">
        <f t="shared" ca="1" si="7"/>
        <v>21</v>
      </c>
      <c r="K20" s="7">
        <f t="shared" ca="1" si="8"/>
        <v>0</v>
      </c>
      <c r="L20" s="7">
        <f t="shared" ca="1" si="9"/>
        <v>29</v>
      </c>
      <c r="M20" s="7">
        <f t="shared" ca="1" si="10"/>
        <v>27</v>
      </c>
      <c r="N20" s="9">
        <f t="shared" si="16"/>
        <v>90000</v>
      </c>
      <c r="O20" s="9">
        <f t="shared" ca="1" si="17"/>
        <v>71000</v>
      </c>
      <c r="P20" s="9">
        <f t="shared" ref="P20" ca="1" si="20">$C20*F20</f>
        <v>40000</v>
      </c>
      <c r="Q20" s="9">
        <f t="shared" ref="Q20" ca="1" si="21">$C20*G20</f>
        <v>79000</v>
      </c>
      <c r="R20" s="9">
        <f t="shared" ref="R20" ca="1" si="22">$C20*H20</f>
        <v>77000</v>
      </c>
      <c r="S20" s="11">
        <f t="shared" si="18"/>
        <v>20000</v>
      </c>
      <c r="T20" s="11">
        <f t="shared" ca="1" si="18"/>
        <v>10500</v>
      </c>
      <c r="U20" s="11">
        <f t="shared" ref="U20" ca="1" si="23">0.5*$C20*K20</f>
        <v>0</v>
      </c>
      <c r="V20" s="11">
        <f t="shared" ref="V20" ca="1" si="24">0.5*$C20*L20</f>
        <v>14500</v>
      </c>
      <c r="W20" s="15">
        <f t="shared" ref="W20" ca="1" si="25">0.5*$C20*M20</f>
        <v>13500</v>
      </c>
      <c r="X20" s="18">
        <f t="shared" si="13"/>
        <v>110000</v>
      </c>
      <c r="Y20" s="18">
        <f t="shared" ref="Y20:AB20" ca="1" si="26">O20+T20</f>
        <v>81500</v>
      </c>
      <c r="Z20" s="18">
        <f t="shared" ca="1" si="26"/>
        <v>40000</v>
      </c>
      <c r="AA20" s="18">
        <f t="shared" ca="1" si="26"/>
        <v>93500</v>
      </c>
      <c r="AB20" s="18">
        <f t="shared" ca="1" si="26"/>
        <v>90500</v>
      </c>
      <c r="AC20" s="16"/>
      <c r="AD20" s="2">
        <f t="shared" ca="1" si="19"/>
        <v>415500</v>
      </c>
    </row>
    <row r="22" spans="1:30" x14ac:dyDescent="0.3">
      <c r="A22" t="s">
        <v>23</v>
      </c>
      <c r="C22" s="2">
        <f>MAX(C4:C20)</f>
        <v>1000</v>
      </c>
      <c r="D22" s="3">
        <f>MAX(D4:D20)</f>
        <v>90</v>
      </c>
      <c r="E22" s="20">
        <f t="shared" ref="E22:AB22" ca="1" si="27">MAX(E4:E20)</f>
        <v>84</v>
      </c>
      <c r="F22" s="3">
        <f t="shared" ca="1" si="27"/>
        <v>82</v>
      </c>
      <c r="G22" s="21">
        <f t="shared" ca="1" si="27"/>
        <v>81</v>
      </c>
      <c r="H22" s="3">
        <f t="shared" ca="1" si="27"/>
        <v>90</v>
      </c>
      <c r="I22" s="21">
        <f t="shared" si="27"/>
        <v>40</v>
      </c>
      <c r="J22" s="3">
        <f t="shared" ca="1" si="27"/>
        <v>34</v>
      </c>
      <c r="K22" s="21">
        <f t="shared" ca="1" si="27"/>
        <v>32</v>
      </c>
      <c r="L22" s="3">
        <f t="shared" ca="1" si="27"/>
        <v>31</v>
      </c>
      <c r="M22" s="21">
        <f t="shared" ca="1" si="27"/>
        <v>40</v>
      </c>
      <c r="N22" s="1">
        <f t="shared" si="27"/>
        <v>90000</v>
      </c>
      <c r="O22" s="2">
        <f t="shared" ca="1" si="27"/>
        <v>71000</v>
      </c>
      <c r="P22" s="3">
        <f t="shared" ca="1" si="27"/>
        <v>46200</v>
      </c>
      <c r="Q22" s="2">
        <f t="shared" ca="1" si="27"/>
        <v>79000</v>
      </c>
      <c r="R22" s="3">
        <f t="shared" ca="1" si="27"/>
        <v>77000</v>
      </c>
      <c r="S22" s="2">
        <f t="shared" si="27"/>
        <v>20000</v>
      </c>
      <c r="T22" s="3">
        <f t="shared" ca="1" si="27"/>
        <v>13175</v>
      </c>
      <c r="U22" s="2">
        <f t="shared" ca="1" si="27"/>
        <v>8100</v>
      </c>
      <c r="V22" s="1">
        <f t="shared" ca="1" si="27"/>
        <v>14500</v>
      </c>
      <c r="W22" s="2">
        <f t="shared" ca="1" si="27"/>
        <v>15000</v>
      </c>
      <c r="X22" s="3">
        <f t="shared" si="27"/>
        <v>110000</v>
      </c>
      <c r="Y22" s="2">
        <f t="shared" ca="1" si="27"/>
        <v>82025</v>
      </c>
      <c r="Z22" s="1">
        <f t="shared" ca="1" si="27"/>
        <v>54300</v>
      </c>
      <c r="AA22" s="2">
        <f t="shared" ca="1" si="27"/>
        <v>93500</v>
      </c>
      <c r="AB22" s="1">
        <f t="shared" ca="1" si="27"/>
        <v>90500</v>
      </c>
      <c r="AC22" s="1"/>
      <c r="AD22" s="1">
        <f t="shared" ref="AD22" ca="1" si="28">MAX(AD4:AD20)</f>
        <v>415500</v>
      </c>
    </row>
    <row r="23" spans="1:30" x14ac:dyDescent="0.3">
      <c r="A23" t="s">
        <v>24</v>
      </c>
      <c r="C23" s="2">
        <f>MIN(C4:C20)</f>
        <v>100</v>
      </c>
      <c r="D23" s="3">
        <f>MIN(D4:D20)</f>
        <v>40</v>
      </c>
      <c r="E23" s="20">
        <f t="shared" ref="E23:AB23" ca="1" si="29">MIN(E4:E20)</f>
        <v>11</v>
      </c>
      <c r="F23" s="3">
        <f t="shared" ca="1" si="29"/>
        <v>18</v>
      </c>
      <c r="G23" s="21">
        <f t="shared" ca="1" si="29"/>
        <v>12</v>
      </c>
      <c r="H23" s="3">
        <f t="shared" ca="1" si="29"/>
        <v>16</v>
      </c>
      <c r="I23" s="21">
        <f t="shared" si="29"/>
        <v>0</v>
      </c>
      <c r="J23" s="3">
        <f t="shared" ca="1" si="29"/>
        <v>0</v>
      </c>
      <c r="K23" s="21">
        <f t="shared" ca="1" si="29"/>
        <v>0</v>
      </c>
      <c r="L23" s="3">
        <f t="shared" ca="1" si="29"/>
        <v>0</v>
      </c>
      <c r="M23" s="21">
        <f t="shared" ca="1" si="29"/>
        <v>0</v>
      </c>
      <c r="N23" s="1">
        <f t="shared" si="29"/>
        <v>4000</v>
      </c>
      <c r="O23" s="2">
        <f t="shared" ca="1" si="29"/>
        <v>4950</v>
      </c>
      <c r="P23" s="3">
        <f t="shared" ca="1" si="29"/>
        <v>4000</v>
      </c>
      <c r="Q23" s="2">
        <f t="shared" ca="1" si="29"/>
        <v>3100</v>
      </c>
      <c r="R23" s="3">
        <f t="shared" ca="1" si="29"/>
        <v>1600</v>
      </c>
      <c r="S23" s="2">
        <f t="shared" si="29"/>
        <v>0</v>
      </c>
      <c r="T23" s="3">
        <f t="shared" ca="1" si="29"/>
        <v>0</v>
      </c>
      <c r="U23" s="2">
        <f t="shared" ca="1" si="29"/>
        <v>0</v>
      </c>
      <c r="V23" s="1">
        <f t="shared" ca="1" si="29"/>
        <v>0</v>
      </c>
      <c r="W23" s="2">
        <f t="shared" ca="1" si="29"/>
        <v>0</v>
      </c>
      <c r="X23" s="3">
        <f t="shared" si="29"/>
        <v>4000</v>
      </c>
      <c r="Y23" s="2">
        <f t="shared" ca="1" si="29"/>
        <v>4950</v>
      </c>
      <c r="Z23" s="1">
        <f t="shared" ca="1" si="29"/>
        <v>4000</v>
      </c>
      <c r="AA23" s="2">
        <f t="shared" ca="1" si="29"/>
        <v>3100</v>
      </c>
      <c r="AB23" s="1">
        <f t="shared" ca="1" si="29"/>
        <v>1600</v>
      </c>
      <c r="AC23" s="1"/>
      <c r="AD23" s="1">
        <f t="shared" ref="AD23" ca="1" si="30">MIN(AD4:AD20)</f>
        <v>19200</v>
      </c>
    </row>
    <row r="24" spans="1:30" x14ac:dyDescent="0.3">
      <c r="A24" t="s">
        <v>25</v>
      </c>
      <c r="C24" s="2">
        <f>AVERAGE(C4:C20)</f>
        <v>511.76470588235293</v>
      </c>
      <c r="D24" s="3">
        <f>AVERAGE(D4:D20)</f>
        <v>62.588235294117645</v>
      </c>
      <c r="E24" s="20">
        <f t="shared" ref="E24:AB24" ca="1" si="31">AVERAGE(E4:E20)</f>
        <v>55.941176470588232</v>
      </c>
      <c r="F24" s="3">
        <f t="shared" ca="1" si="31"/>
        <v>47.823529411764703</v>
      </c>
      <c r="G24" s="21">
        <f t="shared" ca="1" si="31"/>
        <v>55.705882352941174</v>
      </c>
      <c r="H24" s="3">
        <f t="shared" ca="1" si="31"/>
        <v>49</v>
      </c>
      <c r="I24" s="21">
        <f t="shared" si="31"/>
        <v>14.294117647058824</v>
      </c>
      <c r="J24" s="3">
        <f t="shared" ca="1" si="31"/>
        <v>12.764705882352942</v>
      </c>
      <c r="K24" s="21">
        <f t="shared" ca="1" si="31"/>
        <v>8.5882352941176467</v>
      </c>
      <c r="L24" s="3">
        <f t="shared" ca="1" si="31"/>
        <v>11.647058823529411</v>
      </c>
      <c r="M24" s="21">
        <f t="shared" ca="1" si="31"/>
        <v>8.6470588235294112</v>
      </c>
      <c r="N24" s="1">
        <f t="shared" si="31"/>
        <v>36280.882352941175</v>
      </c>
      <c r="O24" s="2">
        <f t="shared" ca="1" si="31"/>
        <v>28135.294117647059</v>
      </c>
      <c r="P24" s="3">
        <f t="shared" ca="1" si="31"/>
        <v>21923.529411764706</v>
      </c>
      <c r="Q24" s="2">
        <f t="shared" ca="1" si="31"/>
        <v>30191.176470588234</v>
      </c>
      <c r="R24" s="3">
        <f t="shared" ca="1" si="31"/>
        <v>27100</v>
      </c>
      <c r="S24" s="2">
        <f t="shared" si="31"/>
        <v>5480.1470588235297</v>
      </c>
      <c r="T24" s="3">
        <f t="shared" ca="1" si="31"/>
        <v>3135.294117647059</v>
      </c>
      <c r="U24" s="2">
        <f t="shared" ca="1" si="31"/>
        <v>1513.2352941176471</v>
      </c>
      <c r="V24" s="1">
        <f t="shared" ca="1" si="31"/>
        <v>3573.5294117647059</v>
      </c>
      <c r="W24" s="2">
        <f t="shared" ca="1" si="31"/>
        <v>2666.1764705882351</v>
      </c>
      <c r="X24" s="3">
        <f t="shared" si="31"/>
        <v>41761.029411764706</v>
      </c>
      <c r="Y24" s="2">
        <f t="shared" ca="1" si="31"/>
        <v>31270.588235294119</v>
      </c>
      <c r="Z24" s="1">
        <f t="shared" ca="1" si="31"/>
        <v>23436.764705882353</v>
      </c>
      <c r="AA24" s="2">
        <f t="shared" ca="1" si="31"/>
        <v>33764.705882352944</v>
      </c>
      <c r="AB24" s="1">
        <f t="shared" ca="1" si="31"/>
        <v>29766.176470588234</v>
      </c>
      <c r="AC24" s="1"/>
      <c r="AD24" s="1">
        <f t="shared" ref="AD24" ca="1" si="32">AVERAGE(AD4:AD20)</f>
        <v>159999.26470588235</v>
      </c>
    </row>
    <row r="25" spans="1:30" x14ac:dyDescent="0.3">
      <c r="A25" t="s">
        <v>26</v>
      </c>
      <c r="C25" s="2">
        <f>SUM(C4:C20)</f>
        <v>8700</v>
      </c>
      <c r="D25" s="3">
        <f>SUM(D4:D20)</f>
        <v>1064</v>
      </c>
      <c r="E25" s="20">
        <f t="shared" ref="E25:AB25" ca="1" si="33">SUM(E4:E20)</f>
        <v>951</v>
      </c>
      <c r="F25" s="3">
        <f t="shared" ca="1" si="33"/>
        <v>813</v>
      </c>
      <c r="G25" s="21">
        <f t="shared" ca="1" si="33"/>
        <v>947</v>
      </c>
      <c r="H25" s="3">
        <f t="shared" ca="1" si="33"/>
        <v>833</v>
      </c>
      <c r="I25" s="21">
        <f t="shared" si="33"/>
        <v>243</v>
      </c>
      <c r="J25" s="3">
        <f t="shared" ca="1" si="33"/>
        <v>217</v>
      </c>
      <c r="K25" s="21">
        <f t="shared" ca="1" si="33"/>
        <v>146</v>
      </c>
      <c r="L25" s="3">
        <f t="shared" ca="1" si="33"/>
        <v>198</v>
      </c>
      <c r="M25" s="21">
        <f t="shared" ca="1" si="33"/>
        <v>147</v>
      </c>
      <c r="N25" s="1">
        <f t="shared" si="33"/>
        <v>616775</v>
      </c>
      <c r="O25" s="2">
        <f t="shared" ca="1" si="33"/>
        <v>478300</v>
      </c>
      <c r="P25" s="3">
        <f t="shared" ca="1" si="33"/>
        <v>372700</v>
      </c>
      <c r="Q25" s="2">
        <f t="shared" ca="1" si="33"/>
        <v>513250</v>
      </c>
      <c r="R25" s="3">
        <f t="shared" ca="1" si="33"/>
        <v>460700</v>
      </c>
      <c r="S25" s="2">
        <f t="shared" si="33"/>
        <v>93162.5</v>
      </c>
      <c r="T25" s="3">
        <f t="shared" ca="1" si="33"/>
        <v>53300</v>
      </c>
      <c r="U25" s="2">
        <f t="shared" ca="1" si="33"/>
        <v>25725</v>
      </c>
      <c r="V25" s="1">
        <f t="shared" ca="1" si="33"/>
        <v>60750</v>
      </c>
      <c r="W25" s="2">
        <f t="shared" ca="1" si="33"/>
        <v>45325</v>
      </c>
      <c r="X25" s="3">
        <f t="shared" si="33"/>
        <v>709937.5</v>
      </c>
      <c r="Y25" s="2">
        <f t="shared" ca="1" si="33"/>
        <v>531600</v>
      </c>
      <c r="Z25" s="1">
        <f t="shared" ca="1" si="33"/>
        <v>398425</v>
      </c>
      <c r="AA25" s="2">
        <f t="shared" ca="1" si="33"/>
        <v>574000</v>
      </c>
      <c r="AB25" s="1">
        <f t="shared" ca="1" si="33"/>
        <v>506025</v>
      </c>
      <c r="AC25" s="1"/>
      <c r="AD25" s="1">
        <f t="shared" ref="AD25" ca="1" si="34">SUM(AD4:AD20)</f>
        <v>2719987.5</v>
      </c>
    </row>
  </sheetData>
  <mergeCells count="1">
    <mergeCell ref="A1:B1"/>
  </mergeCells>
  <pageMargins left="0.7" right="0.7" top="0.75" bottom="0.75" header="0.3" footer="0.3"/>
  <pageSetup scale="2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Corkery</dc:creator>
  <cp:lastModifiedBy>VICTUS</cp:lastModifiedBy>
  <cp:lastPrinted>2026-05-05T23:14:54Z</cp:lastPrinted>
  <dcterms:created xsi:type="dcterms:W3CDTF">2026-04-28T17:14:11Z</dcterms:created>
  <dcterms:modified xsi:type="dcterms:W3CDTF">2026-09-13T11:57:50Z</dcterms:modified>
</cp:coreProperties>
</file>