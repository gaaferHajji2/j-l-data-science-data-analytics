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-l-data-science-data-analytics\Excel\"/>
    </mc:Choice>
  </mc:AlternateContent>
  <xr:revisionPtr revIDLastSave="0" documentId="13_ncr:1_{979C11CE-BAD5-4ED2-9D5B-001E049A1C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J5" i="1" s="1"/>
  <c r="E6" i="1"/>
  <c r="J6" i="1" s="1"/>
  <c r="E7" i="1"/>
  <c r="J7" i="1" s="1"/>
  <c r="E8" i="1"/>
  <c r="J8" i="1" s="1"/>
  <c r="E9" i="1"/>
  <c r="J9" i="1" s="1"/>
  <c r="E10" i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D5" i="1"/>
  <c r="I5" i="1" s="1"/>
  <c r="D6" i="1"/>
  <c r="I6" i="1" s="1"/>
  <c r="D7" i="1"/>
  <c r="I7" i="1" s="1"/>
  <c r="D8" i="1"/>
  <c r="I8" i="1" s="1"/>
  <c r="D9" i="1"/>
  <c r="I9" i="1" s="1"/>
  <c r="D10" i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D19" i="1"/>
  <c r="I19" i="1" s="1"/>
  <c r="D20" i="1"/>
  <c r="I20" i="1" s="1"/>
  <c r="C5" i="1"/>
  <c r="H5" i="1" s="1"/>
  <c r="C6" i="1"/>
  <c r="H6" i="1" s="1"/>
  <c r="C7" i="1"/>
  <c r="H7" i="1" s="1"/>
  <c r="C8" i="1"/>
  <c r="H8" i="1" s="1"/>
  <c r="C9" i="1"/>
  <c r="H9" i="1" s="1"/>
  <c r="C10" i="1"/>
  <c r="C11" i="1"/>
  <c r="H11" i="1" s="1"/>
  <c r="C12" i="1"/>
  <c r="H12" i="1" s="1"/>
  <c r="C13" i="1"/>
  <c r="H13" i="1" s="1"/>
  <c r="C14" i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E4" i="1"/>
  <c r="J4" i="1" s="1"/>
  <c r="D4" i="1"/>
  <c r="I4" i="1" s="1"/>
  <c r="C4" i="1"/>
  <c r="H4" i="1" s="1"/>
  <c r="F5" i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19" i="1"/>
  <c r="K19" i="1" s="1"/>
  <c r="F20" i="1"/>
  <c r="K20" i="1" s="1"/>
  <c r="H10" i="1"/>
  <c r="I10" i="1"/>
  <c r="I18" i="1"/>
  <c r="J10" i="1"/>
  <c r="F4" i="1"/>
  <c r="K4" i="1" s="1"/>
  <c r="J24" i="1" l="1"/>
  <c r="H22" i="1"/>
  <c r="K24" i="1"/>
  <c r="I24" i="1"/>
  <c r="H23" i="1"/>
  <c r="I22" i="1"/>
  <c r="I23" i="1"/>
  <c r="H24" i="1"/>
  <c r="J22" i="1"/>
  <c r="J23" i="1"/>
  <c r="K22" i="1"/>
  <c r="K23" i="1"/>
  <c r="F24" i="1"/>
  <c r="F23" i="1"/>
  <c r="F22" i="1"/>
  <c r="E23" i="1"/>
  <c r="E24" i="1"/>
  <c r="D23" i="1"/>
  <c r="D24" i="1"/>
  <c r="E22" i="1"/>
  <c r="D22" i="1"/>
  <c r="C24" i="1"/>
  <c r="C23" i="1"/>
  <c r="C22" i="1"/>
  <c r="M7" i="1"/>
  <c r="M19" i="1"/>
  <c r="M11" i="1"/>
  <c r="M18" i="1"/>
  <c r="M14" i="1"/>
  <c r="M10" i="1"/>
  <c r="M6" i="1"/>
  <c r="M17" i="1"/>
  <c r="M13" i="1"/>
  <c r="M9" i="1"/>
  <c r="M5" i="1"/>
  <c r="M15" i="1"/>
  <c r="M4" i="1"/>
  <c r="M20" i="1"/>
  <c r="M16" i="1"/>
  <c r="M12" i="1"/>
  <c r="M8" i="1"/>
</calcChain>
</file>

<file path=xl/sharedStrings.xml><?xml version="1.0" encoding="utf-8"?>
<sst xmlns="http://schemas.openxmlformats.org/spreadsheetml/2006/main" count="50" uniqueCount="29">
  <si>
    <t>Grade Book</t>
  </si>
  <si>
    <t>First Name</t>
  </si>
  <si>
    <t>Last Name</t>
  </si>
  <si>
    <t>Jafar Loka-01</t>
  </si>
  <si>
    <t>Jafar Loka-02</t>
  </si>
  <si>
    <t>Jafar Loka-03</t>
  </si>
  <si>
    <t>Jafar Loka-04</t>
  </si>
  <si>
    <t>Jafar Loka-05</t>
  </si>
  <si>
    <t>Jafar Loka-06</t>
  </si>
  <si>
    <t>Jafar Loka-07</t>
  </si>
  <si>
    <t>Jafar Loka-08</t>
  </si>
  <si>
    <t>Jafar Loka-09</t>
  </si>
  <si>
    <t>Jafar Loka-10</t>
  </si>
  <si>
    <t>Jafar Loka-11</t>
  </si>
  <si>
    <t>Jafar Loka-12</t>
  </si>
  <si>
    <t>Jafar Loka-13</t>
  </si>
  <si>
    <t>Jafar Loka-14</t>
  </si>
  <si>
    <t>Jafar Loka-15</t>
  </si>
  <si>
    <t>Jafar Loka-16</t>
  </si>
  <si>
    <t>Jafar Loka-17</t>
  </si>
  <si>
    <t>Safety Test</t>
  </si>
  <si>
    <t>Company Philisophy Test</t>
  </si>
  <si>
    <t>Financial Skills Test</t>
  </si>
  <si>
    <t>Drug Test</t>
  </si>
  <si>
    <t>Points Possible</t>
  </si>
  <si>
    <t>Fired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</si>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</sst>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applyAlignment="1">
      <alignment textRotation="45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0-4545-B495-9A5DD05F20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48457232"/>
        <c:axId val="1348451952"/>
      </c:barChart>
      <c:catAx>
        <c:axId val="134845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51952"/>
        <c:crosses val="autoZero"/>
        <c:auto val="1"/>
        <c:lblAlgn val="ctr"/>
        <c:lblOffset val="100"/>
        <c:noMultiLvlLbl val="0"/>
      </c:catAx>
      <c:valAx>
        <c:axId val="134845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845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Sheet1!$B$4:$B$20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11</c:v>
                </c:pt>
                <c:pt idx="1">
                  <c:v>14</c:v>
                </c:pt>
                <c:pt idx="2">
                  <c:v>17</c:v>
                </c:pt>
                <c:pt idx="3">
                  <c:v>15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19</c:v>
                </c:pt>
                <c:pt idx="10">
                  <c:v>20</c:v>
                </c:pt>
                <c:pt idx="11">
                  <c:v>17</c:v>
                </c:pt>
                <c:pt idx="12">
                  <c:v>20</c:v>
                </c:pt>
                <c:pt idx="13">
                  <c:v>10</c:v>
                </c:pt>
                <c:pt idx="14">
                  <c:v>15</c:v>
                </c:pt>
                <c:pt idx="15">
                  <c:v>16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4-46A7-ACB7-382692D4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460560"/>
        <c:axId val="1329461040"/>
      </c:barChart>
      <c:catAx>
        <c:axId val="13294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61040"/>
        <c:crosses val="autoZero"/>
        <c:auto val="1"/>
        <c:lblAlgn val="ctr"/>
        <c:lblOffset val="100"/>
        <c:noMultiLvlLbl val="0"/>
      </c:catAx>
      <c:valAx>
        <c:axId val="13294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75</c:v>
                </c:pt>
                <c:pt idx="1">
                  <c:v>96</c:v>
                </c:pt>
                <c:pt idx="2">
                  <c:v>69</c:v>
                </c:pt>
                <c:pt idx="3">
                  <c:v>95</c:v>
                </c:pt>
                <c:pt idx="4">
                  <c:v>57</c:v>
                </c:pt>
                <c:pt idx="5">
                  <c:v>70</c:v>
                </c:pt>
                <c:pt idx="6">
                  <c:v>92</c:v>
                </c:pt>
                <c:pt idx="7">
                  <c:v>50</c:v>
                </c:pt>
                <c:pt idx="8">
                  <c:v>92</c:v>
                </c:pt>
                <c:pt idx="9">
                  <c:v>60</c:v>
                </c:pt>
                <c:pt idx="10">
                  <c:v>96</c:v>
                </c:pt>
                <c:pt idx="11">
                  <c:v>95</c:v>
                </c:pt>
                <c:pt idx="12">
                  <c:v>82</c:v>
                </c:pt>
                <c:pt idx="13">
                  <c:v>77</c:v>
                </c:pt>
                <c:pt idx="14">
                  <c:v>96</c:v>
                </c:pt>
                <c:pt idx="15">
                  <c:v>57</c:v>
                </c:pt>
                <c:pt idx="1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3-4400-BA97-9AC90627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22384000"/>
        <c:axId val="1622404160"/>
      </c:barChart>
      <c:catAx>
        <c:axId val="16223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4160"/>
        <c:crosses val="autoZero"/>
        <c:auto val="1"/>
        <c:lblAlgn val="ctr"/>
        <c:lblOffset val="100"/>
        <c:noMultiLvlLbl val="0"/>
      </c:catAx>
      <c:valAx>
        <c:axId val="1622404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3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116417</xdr:colOff>
      <xdr:row>5</xdr:row>
      <xdr:rowOff>141816</xdr:rowOff>
    </xdr:from>
    <xdr:to>
      <xdr:col>21</xdr:col>
      <xdr:colOff>508000</xdr:colOff>
      <xdr:row>21</xdr:row>
      <xdr:rowOff>148165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91384-32F3-C45F-7D92-2F250CE2C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105833</xdr:colOff>
      <xdr:row>22</xdr:row>
      <xdr:rowOff>57150</xdr:rowOff>
    </xdr:from>
    <xdr:to>
      <xdr:col>21</xdr:col>
      <xdr:colOff>529165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34B3F-EA91-F931-6680-1CC3805C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116415</xdr:colOff>
      <xdr:row>37</xdr:row>
      <xdr:rowOff>57151</xdr:rowOff>
    </xdr:from>
    <xdr:to>
      <xdr:col>21</xdr:col>
      <xdr:colOff>529165</xdr:colOff>
      <xdr:row>51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CF0689-CC64-214F-50DA-9381C9C7E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F1" zoomScale="90" zoomScaleNormal="90" workbookViewId="0">
      <selection activeCell="Q5" sqref="Q5"/>
    </sheetView>
  </sheetViews>
  <sheetFormatPr defaultRowHeight="15" x14ac:dyDescent="0.25"/>
  <cols>
    <col min="1" max="2" width="18" customWidth="1"/>
    <col min="3" max="3" width="11.5703125" bestFit="1" customWidth="1"/>
    <col min="4" max="4" width="19" bestFit="1" customWidth="1"/>
    <col min="5" max="5" width="15.7109375" bestFit="1" customWidth="1"/>
    <col min="6" max="6" width="8.85546875" bestFit="1" customWidth="1"/>
    <col min="8" max="8" width="9.85546875" bestFit="1" customWidth="1"/>
    <col min="9" max="9" width="19" bestFit="1" customWidth="1"/>
    <col min="10" max="10" width="15.7109375" bestFit="1" customWidth="1"/>
    <col min="11" max="11" width="8.85546875" bestFit="1" customWidth="1"/>
    <col min="13" max="13" width="13.7109375" bestFit="1" customWidth="1"/>
  </cols>
  <sheetData>
    <row r="1" spans="1:13" ht="132" customHeight="1" x14ac:dyDescent="0.25">
      <c r="A1" s="2" t="s">
        <v>0</v>
      </c>
      <c r="B1" s="2"/>
      <c r="C1" s="2" t="s">
        <v>20</v>
      </c>
      <c r="D1" s="2" t="s">
        <v>21</v>
      </c>
      <c r="E1" s="2" t="s">
        <v>22</v>
      </c>
      <c r="F1" s="2" t="s">
        <v>23</v>
      </c>
      <c r="G1" s="2"/>
      <c r="H1" s="2" t="s">
        <v>20</v>
      </c>
      <c r="I1" s="2" t="s">
        <v>21</v>
      </c>
      <c r="J1" s="2" t="s">
        <v>22</v>
      </c>
      <c r="K1" s="2" t="s">
        <v>23</v>
      </c>
      <c r="L1" s="2"/>
      <c r="M1" s="2" t="s">
        <v>25</v>
      </c>
    </row>
    <row r="2" spans="1:13" x14ac:dyDescent="0.25">
      <c r="B2" t="s">
        <v>24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1</v>
      </c>
      <c r="B3" t="s">
        <v>2</v>
      </c>
    </row>
    <row r="4" spans="1:13" x14ac:dyDescent="0.25">
      <c r="A4" t="s">
        <v>3</v>
      </c>
      <c r="B4" t="s">
        <v>3</v>
      </c>
      <c r="C4">
        <f ca="1">RANDBETWEEN(5, 10)</f>
        <v>6</v>
      </c>
      <c r="D4">
        <f ca="1">RANDBETWEEN(10, 20)</f>
        <v>11</v>
      </c>
      <c r="E4">
        <f ca="1">RANDBETWEEN(50, 100)</f>
        <v>75</v>
      </c>
      <c r="F4">
        <f ca="1">RANDBETWEEN(0, 1)</f>
        <v>1</v>
      </c>
      <c r="H4" s="1">
        <f ca="1">C4/C$2</f>
        <v>0.6</v>
      </c>
      <c r="I4" s="1">
        <f ca="1">D4/D$2</f>
        <v>0.55000000000000004</v>
      </c>
      <c r="J4" s="1">
        <f t="shared" ref="J4:K19" ca="1" si="0">E4/E$2</f>
        <v>0.75</v>
      </c>
      <c r="K4" s="1">
        <f t="shared" ca="1" si="0"/>
        <v>1</v>
      </c>
      <c r="M4" s="1" t="b">
        <f ca="1">OR(H4&lt;0.5, I4&lt;0.5, J4&lt;0.5, K4&lt;0.5)</f>
        <v>0</v>
      </c>
    </row>
    <row r="5" spans="1:13" x14ac:dyDescent="0.25">
      <c r="A5" t="s">
        <v>4</v>
      </c>
      <c r="B5" t="s">
        <v>4</v>
      </c>
      <c r="C5">
        <f t="shared" ref="C5:C20" ca="1" si="1">RANDBETWEEN(5, 10)</f>
        <v>5</v>
      </c>
      <c r="D5">
        <f t="shared" ref="D5:D20" ca="1" si="2">RANDBETWEEN(10, 20)</f>
        <v>14</v>
      </c>
      <c r="E5">
        <f t="shared" ref="E5:E20" ca="1" si="3">RANDBETWEEN(50, 100)</f>
        <v>96</v>
      </c>
      <c r="F5">
        <f t="shared" ref="F5:F20" ca="1" si="4">RANDBETWEEN(0, 1)</f>
        <v>1</v>
      </c>
      <c r="H5" s="1">
        <f t="shared" ref="H5:I20" ca="1" si="5">C5/C$2</f>
        <v>0.5</v>
      </c>
      <c r="I5" s="1">
        <f t="shared" ca="1" si="5"/>
        <v>0.7</v>
      </c>
      <c r="J5" s="1">
        <f t="shared" ca="1" si="0"/>
        <v>0.96</v>
      </c>
      <c r="K5" s="1">
        <f t="shared" ca="1" si="0"/>
        <v>1</v>
      </c>
      <c r="M5" s="1" t="b">
        <f t="shared" ref="M5:M20" ca="1" si="6">OR(H5&lt;0.5, I5&lt;0.5, J5&lt;0.5, K5&lt;0.5)</f>
        <v>0</v>
      </c>
    </row>
    <row r="6" spans="1:13" x14ac:dyDescent="0.25">
      <c r="A6" t="s">
        <v>5</v>
      </c>
      <c r="B6" t="s">
        <v>5</v>
      </c>
      <c r="C6">
        <f t="shared" ca="1" si="1"/>
        <v>10</v>
      </c>
      <c r="D6">
        <f t="shared" ca="1" si="2"/>
        <v>17</v>
      </c>
      <c r="E6">
        <f t="shared" ca="1" si="3"/>
        <v>69</v>
      </c>
      <c r="F6">
        <f t="shared" ca="1" si="4"/>
        <v>0</v>
      </c>
      <c r="H6" s="1">
        <f t="shared" ca="1" si="5"/>
        <v>1</v>
      </c>
      <c r="I6" s="1">
        <f t="shared" ca="1" si="5"/>
        <v>0.85</v>
      </c>
      <c r="J6" s="1">
        <f t="shared" ca="1" si="0"/>
        <v>0.69</v>
      </c>
      <c r="K6" s="1">
        <f t="shared" ca="1" si="0"/>
        <v>0</v>
      </c>
      <c r="M6" s="1" t="b">
        <f t="shared" ca="1" si="6"/>
        <v>1</v>
      </c>
    </row>
    <row r="7" spans="1:13" x14ac:dyDescent="0.25">
      <c r="A7" t="s">
        <v>6</v>
      </c>
      <c r="B7" t="s">
        <v>6</v>
      </c>
      <c r="C7">
        <f t="shared" ca="1" si="1"/>
        <v>10</v>
      </c>
      <c r="D7">
        <f t="shared" ca="1" si="2"/>
        <v>15</v>
      </c>
      <c r="E7">
        <f t="shared" ca="1" si="3"/>
        <v>95</v>
      </c>
      <c r="F7">
        <f t="shared" ca="1" si="4"/>
        <v>0</v>
      </c>
      <c r="H7" s="1">
        <f t="shared" ca="1" si="5"/>
        <v>1</v>
      </c>
      <c r="I7" s="1">
        <f t="shared" ca="1" si="5"/>
        <v>0.75</v>
      </c>
      <c r="J7" s="1">
        <f t="shared" ca="1" si="0"/>
        <v>0.95</v>
      </c>
      <c r="K7" s="1">
        <f t="shared" ca="1" si="0"/>
        <v>0</v>
      </c>
      <c r="M7" s="1" t="b">
        <f t="shared" ca="1" si="6"/>
        <v>1</v>
      </c>
    </row>
    <row r="8" spans="1:13" x14ac:dyDescent="0.25">
      <c r="A8" t="s">
        <v>7</v>
      </c>
      <c r="B8" t="s">
        <v>7</v>
      </c>
      <c r="C8">
        <f t="shared" ca="1" si="1"/>
        <v>7</v>
      </c>
      <c r="D8">
        <f t="shared" ca="1" si="2"/>
        <v>11</v>
      </c>
      <c r="E8">
        <f t="shared" ca="1" si="3"/>
        <v>57</v>
      </c>
      <c r="F8">
        <f t="shared" ca="1" si="4"/>
        <v>1</v>
      </c>
      <c r="H8" s="1">
        <f t="shared" ca="1" si="5"/>
        <v>0.7</v>
      </c>
      <c r="I8" s="1">
        <f t="shared" ca="1" si="5"/>
        <v>0.55000000000000004</v>
      </c>
      <c r="J8" s="1">
        <f t="shared" ca="1" si="0"/>
        <v>0.56999999999999995</v>
      </c>
      <c r="K8" s="1">
        <f t="shared" ca="1" si="0"/>
        <v>1</v>
      </c>
      <c r="M8" s="1" t="b">
        <f t="shared" ca="1" si="6"/>
        <v>0</v>
      </c>
    </row>
    <row r="9" spans="1:13" x14ac:dyDescent="0.25">
      <c r="A9" t="s">
        <v>8</v>
      </c>
      <c r="B9" t="s">
        <v>8</v>
      </c>
      <c r="C9">
        <f t="shared" ca="1" si="1"/>
        <v>8</v>
      </c>
      <c r="D9">
        <f t="shared" ca="1" si="2"/>
        <v>10</v>
      </c>
      <c r="E9">
        <f t="shared" ca="1" si="3"/>
        <v>70</v>
      </c>
      <c r="F9">
        <f t="shared" ca="1" si="4"/>
        <v>1</v>
      </c>
      <c r="H9" s="1">
        <f t="shared" ca="1" si="5"/>
        <v>0.8</v>
      </c>
      <c r="I9" s="1">
        <f t="shared" ca="1" si="5"/>
        <v>0.5</v>
      </c>
      <c r="J9" s="1">
        <f t="shared" ca="1" si="0"/>
        <v>0.7</v>
      </c>
      <c r="K9" s="1">
        <f t="shared" ca="1" si="0"/>
        <v>1</v>
      </c>
      <c r="M9" s="1" t="b">
        <f t="shared" ca="1" si="6"/>
        <v>0</v>
      </c>
    </row>
    <row r="10" spans="1:13" x14ac:dyDescent="0.25">
      <c r="A10" t="s">
        <v>9</v>
      </c>
      <c r="B10" t="s">
        <v>9</v>
      </c>
      <c r="C10">
        <f t="shared" ca="1" si="1"/>
        <v>9</v>
      </c>
      <c r="D10">
        <f t="shared" ca="1" si="2"/>
        <v>10</v>
      </c>
      <c r="E10">
        <f t="shared" ca="1" si="3"/>
        <v>92</v>
      </c>
      <c r="F10">
        <f t="shared" ca="1" si="4"/>
        <v>0</v>
      </c>
      <c r="H10" s="1">
        <f t="shared" ca="1" si="5"/>
        <v>0.9</v>
      </c>
      <c r="I10" s="1">
        <f t="shared" ca="1" si="5"/>
        <v>0.5</v>
      </c>
      <c r="J10" s="1">
        <f t="shared" ca="1" si="0"/>
        <v>0.92</v>
      </c>
      <c r="K10" s="1">
        <f t="shared" ca="1" si="0"/>
        <v>0</v>
      </c>
      <c r="M10" s="1" t="b">
        <f t="shared" ca="1" si="6"/>
        <v>1</v>
      </c>
    </row>
    <row r="11" spans="1:13" x14ac:dyDescent="0.25">
      <c r="A11" t="s">
        <v>10</v>
      </c>
      <c r="B11" t="s">
        <v>10</v>
      </c>
      <c r="C11">
        <f t="shared" ca="1" si="1"/>
        <v>9</v>
      </c>
      <c r="D11">
        <f t="shared" ca="1" si="2"/>
        <v>11</v>
      </c>
      <c r="E11">
        <f t="shared" ca="1" si="3"/>
        <v>50</v>
      </c>
      <c r="F11">
        <f t="shared" ca="1" si="4"/>
        <v>0</v>
      </c>
      <c r="H11" s="1">
        <f t="shared" ca="1" si="5"/>
        <v>0.9</v>
      </c>
      <c r="I11" s="1">
        <f t="shared" ca="1" si="5"/>
        <v>0.55000000000000004</v>
      </c>
      <c r="J11" s="1">
        <f t="shared" ca="1" si="0"/>
        <v>0.5</v>
      </c>
      <c r="K11" s="1">
        <f t="shared" ca="1" si="0"/>
        <v>0</v>
      </c>
      <c r="M11" s="1" t="b">
        <f t="shared" ca="1" si="6"/>
        <v>1</v>
      </c>
    </row>
    <row r="12" spans="1:13" x14ac:dyDescent="0.25">
      <c r="A12" t="s">
        <v>11</v>
      </c>
      <c r="B12" t="s">
        <v>11</v>
      </c>
      <c r="C12">
        <f t="shared" ca="1" si="1"/>
        <v>10</v>
      </c>
      <c r="D12">
        <f t="shared" ca="1" si="2"/>
        <v>16</v>
      </c>
      <c r="E12">
        <f t="shared" ca="1" si="3"/>
        <v>92</v>
      </c>
      <c r="F12">
        <f t="shared" ca="1" si="4"/>
        <v>1</v>
      </c>
      <c r="H12" s="1">
        <f t="shared" ca="1" si="5"/>
        <v>1</v>
      </c>
      <c r="I12" s="1">
        <f t="shared" ca="1" si="5"/>
        <v>0.8</v>
      </c>
      <c r="J12" s="1">
        <f t="shared" ca="1" si="0"/>
        <v>0.92</v>
      </c>
      <c r="K12" s="1">
        <f t="shared" ca="1" si="0"/>
        <v>1</v>
      </c>
      <c r="M12" s="1" t="b">
        <f t="shared" ca="1" si="6"/>
        <v>0</v>
      </c>
    </row>
    <row r="13" spans="1:13" x14ac:dyDescent="0.25">
      <c r="A13" t="s">
        <v>12</v>
      </c>
      <c r="B13" t="s">
        <v>12</v>
      </c>
      <c r="C13">
        <f t="shared" ca="1" si="1"/>
        <v>5</v>
      </c>
      <c r="D13">
        <f t="shared" ca="1" si="2"/>
        <v>19</v>
      </c>
      <c r="E13">
        <f t="shared" ca="1" si="3"/>
        <v>60</v>
      </c>
      <c r="F13">
        <f t="shared" ca="1" si="4"/>
        <v>1</v>
      </c>
      <c r="H13" s="1">
        <f t="shared" ca="1" si="5"/>
        <v>0.5</v>
      </c>
      <c r="I13" s="1">
        <f t="shared" ca="1" si="5"/>
        <v>0.95</v>
      </c>
      <c r="J13" s="1">
        <f t="shared" ca="1" si="0"/>
        <v>0.6</v>
      </c>
      <c r="K13" s="1">
        <f t="shared" ca="1" si="0"/>
        <v>1</v>
      </c>
      <c r="M13" s="1" t="b">
        <f t="shared" ca="1" si="6"/>
        <v>0</v>
      </c>
    </row>
    <row r="14" spans="1:13" x14ac:dyDescent="0.25">
      <c r="A14" t="s">
        <v>13</v>
      </c>
      <c r="B14" t="s">
        <v>13</v>
      </c>
      <c r="C14">
        <f t="shared" ca="1" si="1"/>
        <v>7</v>
      </c>
      <c r="D14">
        <f t="shared" ca="1" si="2"/>
        <v>20</v>
      </c>
      <c r="E14">
        <f t="shared" ca="1" si="3"/>
        <v>96</v>
      </c>
      <c r="F14">
        <f t="shared" ca="1" si="4"/>
        <v>0</v>
      </c>
      <c r="H14" s="1">
        <f t="shared" ca="1" si="5"/>
        <v>0.7</v>
      </c>
      <c r="I14" s="1">
        <f t="shared" ca="1" si="5"/>
        <v>1</v>
      </c>
      <c r="J14" s="1">
        <f t="shared" ca="1" si="0"/>
        <v>0.96</v>
      </c>
      <c r="K14" s="1">
        <f t="shared" ca="1" si="0"/>
        <v>0</v>
      </c>
      <c r="M14" s="1" t="b">
        <f t="shared" ca="1" si="6"/>
        <v>1</v>
      </c>
    </row>
    <row r="15" spans="1:13" x14ac:dyDescent="0.25">
      <c r="A15" t="s">
        <v>14</v>
      </c>
      <c r="B15" t="s">
        <v>14</v>
      </c>
      <c r="C15">
        <f t="shared" ca="1" si="1"/>
        <v>9</v>
      </c>
      <c r="D15">
        <f t="shared" ca="1" si="2"/>
        <v>17</v>
      </c>
      <c r="E15">
        <f t="shared" ca="1" si="3"/>
        <v>95</v>
      </c>
      <c r="F15">
        <f t="shared" ca="1" si="4"/>
        <v>1</v>
      </c>
      <c r="H15" s="1">
        <f t="shared" ca="1" si="5"/>
        <v>0.9</v>
      </c>
      <c r="I15" s="1">
        <f t="shared" ca="1" si="5"/>
        <v>0.85</v>
      </c>
      <c r="J15" s="1">
        <f t="shared" ca="1" si="0"/>
        <v>0.95</v>
      </c>
      <c r="K15" s="1">
        <f t="shared" ca="1" si="0"/>
        <v>1</v>
      </c>
      <c r="M15" s="1" t="b">
        <f t="shared" ca="1" si="6"/>
        <v>0</v>
      </c>
    </row>
    <row r="16" spans="1:13" x14ac:dyDescent="0.25">
      <c r="A16" t="s">
        <v>15</v>
      </c>
      <c r="B16" t="s">
        <v>15</v>
      </c>
      <c r="C16">
        <f t="shared" ca="1" si="1"/>
        <v>10</v>
      </c>
      <c r="D16">
        <f t="shared" ca="1" si="2"/>
        <v>20</v>
      </c>
      <c r="E16">
        <f t="shared" ca="1" si="3"/>
        <v>82</v>
      </c>
      <c r="F16">
        <f t="shared" ca="1" si="4"/>
        <v>0</v>
      </c>
      <c r="H16" s="1">
        <f t="shared" ca="1" si="5"/>
        <v>1</v>
      </c>
      <c r="I16" s="1">
        <f t="shared" ca="1" si="5"/>
        <v>1</v>
      </c>
      <c r="J16" s="1">
        <f t="shared" ca="1" si="0"/>
        <v>0.82</v>
      </c>
      <c r="K16" s="1">
        <f t="shared" ca="1" si="0"/>
        <v>0</v>
      </c>
      <c r="M16" s="1" t="b">
        <f t="shared" ca="1" si="6"/>
        <v>1</v>
      </c>
    </row>
    <row r="17" spans="1:13" x14ac:dyDescent="0.25">
      <c r="A17" t="s">
        <v>16</v>
      </c>
      <c r="B17" t="s">
        <v>16</v>
      </c>
      <c r="C17">
        <f t="shared" ca="1" si="1"/>
        <v>5</v>
      </c>
      <c r="D17">
        <f t="shared" ca="1" si="2"/>
        <v>10</v>
      </c>
      <c r="E17">
        <f t="shared" ca="1" si="3"/>
        <v>77</v>
      </c>
      <c r="F17">
        <f t="shared" ca="1" si="4"/>
        <v>0</v>
      </c>
      <c r="H17" s="1">
        <f t="shared" ca="1" si="5"/>
        <v>0.5</v>
      </c>
      <c r="I17" s="1">
        <f t="shared" ca="1" si="5"/>
        <v>0.5</v>
      </c>
      <c r="J17" s="1">
        <f t="shared" ca="1" si="0"/>
        <v>0.77</v>
      </c>
      <c r="K17" s="1">
        <f t="shared" ca="1" si="0"/>
        <v>0</v>
      </c>
      <c r="M17" s="1" t="b">
        <f t="shared" ca="1" si="6"/>
        <v>1</v>
      </c>
    </row>
    <row r="18" spans="1:13" x14ac:dyDescent="0.25">
      <c r="A18" t="s">
        <v>17</v>
      </c>
      <c r="B18" t="s">
        <v>17</v>
      </c>
      <c r="C18">
        <f t="shared" ca="1" si="1"/>
        <v>8</v>
      </c>
      <c r="D18">
        <f t="shared" ca="1" si="2"/>
        <v>15</v>
      </c>
      <c r="E18">
        <f t="shared" ca="1" si="3"/>
        <v>96</v>
      </c>
      <c r="F18">
        <f t="shared" ca="1" si="4"/>
        <v>1</v>
      </c>
      <c r="H18" s="1">
        <f t="shared" ca="1" si="5"/>
        <v>0.8</v>
      </c>
      <c r="I18" s="1">
        <f t="shared" ca="1" si="5"/>
        <v>0.75</v>
      </c>
      <c r="J18" s="1">
        <f t="shared" ca="1" si="0"/>
        <v>0.96</v>
      </c>
      <c r="K18" s="1">
        <f t="shared" ca="1" si="0"/>
        <v>1</v>
      </c>
      <c r="M18" s="1" t="b">
        <f t="shared" ca="1" si="6"/>
        <v>0</v>
      </c>
    </row>
    <row r="19" spans="1:13" x14ac:dyDescent="0.25">
      <c r="A19" t="s">
        <v>18</v>
      </c>
      <c r="B19" t="s">
        <v>18</v>
      </c>
      <c r="C19">
        <f t="shared" ca="1" si="1"/>
        <v>7</v>
      </c>
      <c r="D19">
        <f t="shared" ca="1" si="2"/>
        <v>16</v>
      </c>
      <c r="E19">
        <f t="shared" ca="1" si="3"/>
        <v>57</v>
      </c>
      <c r="F19">
        <f t="shared" ca="1" si="4"/>
        <v>1</v>
      </c>
      <c r="H19" s="1">
        <f t="shared" ca="1" si="5"/>
        <v>0.7</v>
      </c>
      <c r="I19" s="1">
        <f t="shared" ca="1" si="5"/>
        <v>0.8</v>
      </c>
      <c r="J19" s="1">
        <f t="shared" ca="1" si="0"/>
        <v>0.56999999999999995</v>
      </c>
      <c r="K19" s="1">
        <f t="shared" ca="1" si="0"/>
        <v>1</v>
      </c>
      <c r="M19" s="1" t="b">
        <f t="shared" ca="1" si="6"/>
        <v>0</v>
      </c>
    </row>
    <row r="20" spans="1:13" x14ac:dyDescent="0.25">
      <c r="A20" t="s">
        <v>19</v>
      </c>
      <c r="B20" t="s">
        <v>19</v>
      </c>
      <c r="C20">
        <f t="shared" ca="1" si="1"/>
        <v>7</v>
      </c>
      <c r="D20">
        <f t="shared" ca="1" si="2"/>
        <v>15</v>
      </c>
      <c r="E20">
        <f t="shared" ca="1" si="3"/>
        <v>69</v>
      </c>
      <c r="F20">
        <f t="shared" ca="1" si="4"/>
        <v>1</v>
      </c>
      <c r="H20" s="1">
        <f t="shared" ca="1" si="5"/>
        <v>0.7</v>
      </c>
      <c r="I20" s="1">
        <f t="shared" ca="1" si="5"/>
        <v>0.75</v>
      </c>
      <c r="J20" s="1">
        <f t="shared" ref="J20" ca="1" si="7">E20/E$2</f>
        <v>0.69</v>
      </c>
      <c r="K20" s="1">
        <f t="shared" ref="K20" ca="1" si="8">F20/F$2</f>
        <v>1</v>
      </c>
      <c r="M20" s="1" t="b">
        <f t="shared" ca="1" si="6"/>
        <v>0</v>
      </c>
    </row>
    <row r="22" spans="1:13" x14ac:dyDescent="0.25">
      <c r="A22" t="s">
        <v>26</v>
      </c>
      <c r="C22">
        <f ca="1">MAX(C4:C20)</f>
        <v>10</v>
      </c>
      <c r="D22">
        <f t="shared" ref="D22:F22" ca="1" si="9">MAX(D4:D20)</f>
        <v>20</v>
      </c>
      <c r="E22">
        <f t="shared" ca="1" si="9"/>
        <v>96</v>
      </c>
      <c r="F22">
        <f t="shared" ref="F22" ca="1" si="10">MAX(F4:F20)</f>
        <v>1</v>
      </c>
      <c r="H22" s="1">
        <f ca="1">MAX(H4:H20)</f>
        <v>1</v>
      </c>
      <c r="I22" s="1">
        <f t="shared" ref="I22:K22" ca="1" si="11">MAX(I4:I20)</f>
        <v>1</v>
      </c>
      <c r="J22" s="1">
        <f t="shared" ca="1" si="11"/>
        <v>0.96</v>
      </c>
      <c r="K22" s="1">
        <f t="shared" ca="1" si="11"/>
        <v>1</v>
      </c>
    </row>
    <row r="23" spans="1:13" x14ac:dyDescent="0.25">
      <c r="A23" t="s">
        <v>27</v>
      </c>
      <c r="C23">
        <f ca="1">MIN(C4:C20)</f>
        <v>5</v>
      </c>
      <c r="D23">
        <f t="shared" ref="D23:F23" ca="1" si="12">MIN(D4:D20)</f>
        <v>10</v>
      </c>
      <c r="E23">
        <f t="shared" ca="1" si="12"/>
        <v>50</v>
      </c>
      <c r="F23">
        <f t="shared" ref="F23" ca="1" si="13">MIN(F4:F20)</f>
        <v>0</v>
      </c>
      <c r="H23" s="1">
        <f ca="1">MIN(H4:H20)</f>
        <v>0.5</v>
      </c>
      <c r="I23" s="1">
        <f t="shared" ref="I23:K23" ca="1" si="14">MIN(I4:I20)</f>
        <v>0.5</v>
      </c>
      <c r="J23" s="1">
        <f t="shared" ca="1" si="14"/>
        <v>0.5</v>
      </c>
      <c r="K23" s="1">
        <f t="shared" ca="1" si="14"/>
        <v>0</v>
      </c>
    </row>
    <row r="24" spans="1:13" x14ac:dyDescent="0.25">
      <c r="A24" t="s">
        <v>28</v>
      </c>
      <c r="C24" s="3">
        <f ca="1">AVERAGE(C4:C21)</f>
        <v>7.7647058823529411</v>
      </c>
      <c r="D24" s="3">
        <f t="shared" ref="D24:F24" ca="1" si="15">AVERAGE(D4:D21)</f>
        <v>14.529411764705882</v>
      </c>
      <c r="E24" s="3">
        <f t="shared" ca="1" si="15"/>
        <v>78.117647058823536</v>
      </c>
      <c r="F24" s="3">
        <f t="shared" ref="F24" ca="1" si="16">AVERAGE(F4:F21)</f>
        <v>0.58823529411764708</v>
      </c>
      <c r="H24" s="1">
        <f ca="1">AVERAGE(H4:H21)</f>
        <v>0.77647058823529402</v>
      </c>
      <c r="I24" s="1">
        <f t="shared" ref="I24:K24" ca="1" si="17">AVERAGE(I4:I21)</f>
        <v>0.7264705882352942</v>
      </c>
      <c r="J24" s="1">
        <f t="shared" ca="1" si="17"/>
        <v>0.78117647058823525</v>
      </c>
      <c r="K24" s="1">
        <f t="shared" ca="1" si="17"/>
        <v>0.58823529411764708</v>
      </c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7" priority="3" operator="lessThan">
      <formula>0.5</formula>
    </cfRule>
  </conditionalFormatting>
  <conditionalFormatting sqref="M4:M20">
    <cfRule type="cellIs" dxfId="3" priority="2" operator="equal">
      <formula>TRUE</formula>
    </cfRule>
    <cfRule type="cellIs" dxfId="4" priority="1" operator="equal">
      <formula>FALSE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</dc:creator>
  <cp:lastModifiedBy>Jessie Corkery</cp:lastModifiedBy>
  <dcterms:created xsi:type="dcterms:W3CDTF">2015-06-05T18:17:20Z</dcterms:created>
  <dcterms:modified xsi:type="dcterms:W3CDTF">2026-05-12T03:07:49Z</dcterms:modified>
</cp:coreProperties>
</file>